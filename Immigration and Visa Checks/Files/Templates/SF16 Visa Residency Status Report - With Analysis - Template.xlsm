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imi1u\Desktop\Immigration and Visa Checks\Files\Templates\"/>
    </mc:Choice>
  </mc:AlternateContent>
  <xr:revisionPtr revIDLastSave="0" documentId="13_ncr:1_{9D802D84-188A-4DD0-9175-605D9DD63BD1}" xr6:coauthVersionLast="36" xr6:coauthVersionMax="36" xr10:uidLastSave="{00000000-0000-0000-0000-000000000000}"/>
  <bookViews>
    <workbookView xWindow="1080" yWindow="6690" windowWidth="18195" windowHeight="10890" activeTab="3" xr2:uid="{00000000-000D-0000-FFFF-FFFF00000000}"/>
  </bookViews>
  <sheets>
    <sheet name="Dashboard" sheetId="2" r:id="rId1"/>
    <sheet name="ILR.PR" sheetId="3" r:id="rId2"/>
    <sheet name="Limited Leave" sheetId="5" r:id="rId3"/>
    <sheet name="SF16" sheetId="1" r:id="rId4"/>
    <sheet name="Changes Check" sheetId="6" r:id="rId5"/>
    <sheet name="Leavers" sheetId="7" r:id="rId6"/>
    <sheet name="Joiners" sheetId="9" r:id="rId7"/>
  </sheets>
  <definedNames>
    <definedName name="_xlnm._FilterDatabase" localSheetId="4" hidden="1">'Changes Check'!$A$1:$AD$1</definedName>
    <definedName name="_xlnm._FilterDatabase" localSheetId="1" hidden="1">ILR.PR!$A$1:$AF$1</definedName>
    <definedName name="_xlnm._FilterDatabase" localSheetId="6" hidden="1">Joiners!$A$1:$C$1</definedName>
    <definedName name="_xlnm._FilterDatabase" localSheetId="5" hidden="1">Leavers!$A$1:$C$1</definedName>
    <definedName name="_xlnm._FilterDatabase" localSheetId="2" hidden="1">'Limited Leave'!$A$1:$AF$1</definedName>
    <definedName name="_xlnm._FilterDatabase" localSheetId="3" hidden="1">'SF16'!$A$1:$AD$1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" l="1"/>
  <c r="B4" i="2" l="1"/>
  <c r="D10" i="2" l="1"/>
  <c r="C10" i="2"/>
  <c r="B10" i="2"/>
  <c r="D9" i="2"/>
  <c r="C9" i="2"/>
  <c r="B9" i="2"/>
  <c r="D6" i="2"/>
  <c r="D5" i="2"/>
  <c r="D4" i="2"/>
  <c r="C6" i="2"/>
  <c r="C5" i="2"/>
  <c r="C4" i="2"/>
  <c r="B6" i="2"/>
  <c r="B5" i="2"/>
  <c r="E4" i="2" l="1"/>
  <c r="C16" i="2" s="1"/>
  <c r="E5" i="2"/>
  <c r="C17" i="2" s="1"/>
  <c r="E6" i="2"/>
  <c r="E9" i="2"/>
  <c r="C21" i="2" s="1"/>
  <c r="E10" i="2" l="1"/>
  <c r="C22" i="2" s="1"/>
  <c r="C18" i="2"/>
</calcChain>
</file>

<file path=xl/sharedStrings.xml><?xml version="1.0" encoding="utf-8"?>
<sst xmlns="http://schemas.openxmlformats.org/spreadsheetml/2006/main" count="165" uniqueCount="59">
  <si>
    <t>Generation</t>
  </si>
  <si>
    <t>Customers</t>
  </si>
  <si>
    <t>Immigration Dashboard</t>
  </si>
  <si>
    <t>Breakdown by Business Unit</t>
  </si>
  <si>
    <t>Other</t>
  </si>
  <si>
    <t>Employees with Permanent Residence/Citizenship</t>
  </si>
  <si>
    <t>Employees with Indefinite Leave</t>
  </si>
  <si>
    <t>Employees with Limited Leave</t>
  </si>
  <si>
    <t>Limited Leave Breakdown</t>
  </si>
  <si>
    <t>Tier 2 Sponsorship under company licence</t>
  </si>
  <si>
    <t>Other personal visa</t>
  </si>
  <si>
    <t>Weekly Totals</t>
  </si>
  <si>
    <t>Employees with Immigration Implications</t>
  </si>
  <si>
    <t>Limited Leave Visa Breakdown</t>
  </si>
  <si>
    <t>Tier 2 Sponsorship (incl UKBA WP)</t>
  </si>
  <si>
    <t>All other visa types</t>
  </si>
  <si>
    <t>Hinkley Point C/Nuclear Development</t>
  </si>
  <si>
    <t>Employee Number</t>
  </si>
  <si>
    <t>Name</t>
  </si>
  <si>
    <t>Nationality (Label)</t>
  </si>
  <si>
    <t>Mgr Name</t>
  </si>
  <si>
    <t>Unit</t>
  </si>
  <si>
    <t>Function</t>
  </si>
  <si>
    <t>Sub Function</t>
  </si>
  <si>
    <t>Position Position Title</t>
  </si>
  <si>
    <t>Work Schedule (externalCode)</t>
  </si>
  <si>
    <t>Contractual Location (Name)</t>
  </si>
  <si>
    <t>Designated Location (Name)</t>
  </si>
  <si>
    <t>Address Line 1</t>
  </si>
  <si>
    <t>Address Line 2</t>
  </si>
  <si>
    <t>Address Line 3</t>
  </si>
  <si>
    <t>City</t>
  </si>
  <si>
    <t>Post Code</t>
  </si>
  <si>
    <t>Phone Number</t>
  </si>
  <si>
    <t>Sponsor Mgt Number</t>
  </si>
  <si>
    <t>Type (Label)</t>
  </si>
  <si>
    <t>Residence Status (Label)</t>
  </si>
  <si>
    <t>Last Annual Review Date</t>
  </si>
  <si>
    <t>Sponsor Mgt Expiry Date</t>
  </si>
  <si>
    <t>LTR/Visa Number</t>
  </si>
  <si>
    <t>LTR/Visa Date Granted</t>
  </si>
  <si>
    <t>LTR/Visa Expiry Date</t>
  </si>
  <si>
    <t>Created Date</t>
  </si>
  <si>
    <t>Contractual Working Hours</t>
  </si>
  <si>
    <t>Amount</t>
  </si>
  <si>
    <t>Visa type</t>
  </si>
  <si>
    <t>Further Comments</t>
  </si>
  <si>
    <t>Employment Status</t>
  </si>
  <si>
    <t>Type</t>
  </si>
  <si>
    <t>Employee Email</t>
  </si>
  <si>
    <t>Manager Email</t>
  </si>
  <si>
    <t>Managers Email</t>
  </si>
  <si>
    <t>Date Email Sent</t>
  </si>
  <si>
    <t>HR Reporting Breakdown</t>
  </si>
  <si>
    <t>No. of Changes Identified</t>
  </si>
  <si>
    <t>No. of Leavers Identified</t>
  </si>
  <si>
    <t>No. of Joiners Identified</t>
  </si>
  <si>
    <t>No. of Comments Added by Robot</t>
  </si>
  <si>
    <t>No. of Emails 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</si>
</sst>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u/>
      <sz val="14"/>
      <color indexed="8"/>
      <name val="Calibri"/>
      <family val="2"/>
    </font>
    <font>
      <b/>
      <sz val="12"/>
      <color indexed="8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5" fillId="0" borderId="0" xfId="1"/>
    <xf numFmtId="0" fontId="5" fillId="0" borderId="1" xfId="1" applyBorder="1"/>
    <xf numFmtId="0" fontId="5" fillId="0" borderId="2" xfId="1" applyNumberFormat="1" applyBorder="1"/>
    <xf numFmtId="0" fontId="5" fillId="0" borderId="3" xfId="1" applyNumberFormat="1" applyBorder="1"/>
    <xf numFmtId="0" fontId="5" fillId="0" borderId="4" xfId="1" applyBorder="1"/>
    <xf numFmtId="0" fontId="5" fillId="0" borderId="5" xfId="1" applyNumberFormat="1" applyBorder="1"/>
    <xf numFmtId="0" fontId="5" fillId="0" borderId="6" xfId="1" applyNumberFormat="1" applyBorder="1"/>
    <xf numFmtId="0" fontId="5" fillId="0" borderId="7" xfId="1" applyBorder="1"/>
    <xf numFmtId="0" fontId="5" fillId="0" borderId="8" xfId="1" applyNumberFormat="1" applyBorder="1"/>
    <xf numFmtId="0" fontId="5" fillId="0" borderId="9" xfId="1" applyNumberFormat="1" applyBorder="1"/>
    <xf numFmtId="0" fontId="1" fillId="2" borderId="12" xfId="1" applyFont="1" applyFill="1" applyBorder="1"/>
    <xf numFmtId="0" fontId="2" fillId="3" borderId="13" xfId="1" applyFont="1" applyFill="1" applyBorder="1"/>
    <xf numFmtId="0" fontId="3" fillId="0" borderId="0" xfId="1" applyFont="1"/>
    <xf numFmtId="0" fontId="5" fillId="0" borderId="3" xfId="1" applyBorder="1"/>
    <xf numFmtId="0" fontId="5" fillId="0" borderId="6" xfId="1" applyBorder="1"/>
    <xf numFmtId="0" fontId="1" fillId="0" borderId="10" xfId="1" applyFont="1" applyBorder="1" applyAlignment="1">
      <alignment horizontal="center"/>
    </xf>
    <xf numFmtId="0" fontId="1" fillId="0" borderId="11" xfId="1" applyFont="1" applyBorder="1" applyAlignment="1">
      <alignment horizontal="center"/>
    </xf>
    <xf numFmtId="0" fontId="0" fillId="0" borderId="2" xfId="0" applyBorder="1"/>
    <xf numFmtId="0" fontId="6" fillId="4" borderId="2" xfId="0" applyFont="1" applyFill="1" applyBorder="1"/>
    <xf numFmtId="0" fontId="6" fillId="4" borderId="2" xfId="0" applyNumberFormat="1" applyFont="1" applyFill="1" applyBorder="1"/>
    <xf numFmtId="0" fontId="0" fillId="0" borderId="0" xfId="0" applyNumberFormat="1"/>
    <xf numFmtId="14" fontId="6" fillId="4" borderId="2" xfId="0" applyNumberFormat="1" applyFont="1" applyFill="1" applyBorder="1"/>
    <xf numFmtId="14" fontId="0" fillId="0" borderId="0" xfId="0" applyNumberFormat="1"/>
    <xf numFmtId="0" fontId="0" fillId="0" borderId="0" xfId="0" applyAlignment="1">
      <alignment wrapText="1"/>
    </xf>
    <xf numFmtId="0" fontId="6" fillId="4" borderId="2" xfId="0" applyFont="1" applyFill="1" applyBorder="1" applyAlignment="1">
      <alignment wrapText="1"/>
    </xf>
    <xf numFmtId="0" fontId="0" fillId="0" borderId="0" xfId="0" applyAlignment="1">
      <alignment vertical="center" wrapText="1"/>
    </xf>
    <xf numFmtId="0" fontId="6" fillId="4" borderId="17" xfId="0" applyFont="1" applyFill="1" applyBorder="1"/>
    <xf numFmtId="0" fontId="5" fillId="0" borderId="4" xfId="1" applyBorder="1" applyAlignment="1"/>
    <xf numFmtId="0" fontId="5" fillId="0" borderId="5" xfId="1" applyBorder="1" applyAlignment="1"/>
    <xf numFmtId="0" fontId="4" fillId="2" borderId="14" xfId="1" applyFont="1" applyFill="1" applyBorder="1" applyAlignment="1"/>
    <xf numFmtId="0" fontId="4" fillId="2" borderId="15" xfId="1" applyFont="1" applyFill="1" applyBorder="1" applyAlignment="1"/>
    <xf numFmtId="0" fontId="4" fillId="2" borderId="16" xfId="1" applyFont="1" applyFill="1" applyBorder="1" applyAlignment="1"/>
    <xf numFmtId="0" fontId="5" fillId="0" borderId="1" xfId="1" applyBorder="1" applyAlignment="1"/>
    <xf numFmtId="0" fontId="5" fillId="0" borderId="2" xfId="1" applyBorder="1" applyAlignment="1"/>
  </cellXfs>
  <cellStyles count="2">
    <cellStyle name="Normal" xfId="0" builtinId="0"/>
    <cellStyle name="Normal 2" xfId="1" xr:uid="{00000000-0005-0000-0000-000001000000}"/>
  </cellStyles>
  <dxfs count="2"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29"/>
  <sheetViews>
    <sheetView showGridLines="0" topLeftCell="A13" zoomScale="90" zoomScaleNormal="90" workbookViewId="0">
      <selection activeCell="C29" sqref="C29"/>
    </sheetView>
  </sheetViews>
  <sheetFormatPr defaultRowHeight="14.25" x14ac:dyDescent="0.45"/>
  <cols>
    <col min="1" max="1" width="47" bestFit="1" customWidth="1"/>
    <col min="2" max="2" width="11.1328125" bestFit="1" customWidth="1"/>
    <col min="3" max="3" width="35.59765625" bestFit="1" customWidth="1"/>
    <col min="4" max="4" width="10.3984375" bestFit="1" customWidth="1"/>
    <col min="5" max="5" width="8" bestFit="1" customWidth="1"/>
  </cols>
  <sheetData>
    <row r="1" spans="1:5" ht="18.399999999999999" thickBot="1" x14ac:dyDescent="0.6">
      <c r="A1" s="12" t="s">
        <v>2</v>
      </c>
      <c r="B1" s="1"/>
      <c r="C1" s="1"/>
      <c r="D1" s="1"/>
      <c r="E1" s="1"/>
    </row>
    <row r="2" spans="1:5" ht="14.65" thickBot="1" x14ac:dyDescent="0.5">
      <c r="A2" s="1"/>
      <c r="B2" s="1"/>
      <c r="C2" s="1"/>
      <c r="D2" s="1"/>
      <c r="E2" s="1"/>
    </row>
    <row r="3" spans="1:5" ht="14.65" thickBot="1" x14ac:dyDescent="0.5">
      <c r="A3" s="11" t="s">
        <v>3</v>
      </c>
      <c r="B3" s="16" t="s">
        <v>0</v>
      </c>
      <c r="C3" s="16" t="s">
        <v>16</v>
      </c>
      <c r="D3" s="16" t="s">
        <v>1</v>
      </c>
      <c r="E3" s="17" t="s">
        <v>4</v>
      </c>
    </row>
    <row r="4" spans="1:5" x14ac:dyDescent="0.45">
      <c r="A4" s="8" t="s">
        <v>5</v>
      </c>
      <c r="B4" s="9">
        <f>COUNTIFS(ILR.PR!$E:$E,"Generation",ILR.PR!T:T,"PR: Permanent Residency/Citizenship")</f>
        <v>0</v>
      </c>
      <c r="C4" s="9">
        <f>SUM(COUNTIFS(ILR.PR!$E:$E,"Hinkley Point C",ILR.PR!T:T,"PR: Permanent Residency/Citizenship")+COUNTIFS(ILR.PR!$E:$E,"Nuclear Development",ILR.PR!T:T,"PR: Permanent Residency/Citizenship"))</f>
        <v>0</v>
      </c>
      <c r="D4" s="9">
        <f>COUNTIFS(ILR.PR!$E:$E,"Customers",ILR.PR!T:T,"PR: Permanent Residency/Citizenship")</f>
        <v>0</v>
      </c>
      <c r="E4" s="10">
        <f>COUNTIFS(ILR.PR!T:T,"PR: Permanent Residency/Citizenship")-SUM(Dashboard!B4:D4)</f>
        <v>0</v>
      </c>
    </row>
    <row r="5" spans="1:5" x14ac:dyDescent="0.45">
      <c r="A5" s="2" t="s">
        <v>6</v>
      </c>
      <c r="B5" s="3">
        <f>COUNTIFS(ILR.PR!$E:$E,"Generation",ILR.PR!T:T,"ILR: Indefinite Leave to Remain")</f>
        <v>0</v>
      </c>
      <c r="C5" s="3">
        <f>SUM(COUNTIFS(ILR.PR!$E:$E,"Hinkley Point C",ILR.PR!T:T,"ILR: Indefinite Leave to Remain")+COUNTIFS(ILR.PR!$E:$E,"Nuclear Development",ILR.PR!T:T,"ILR: Indefinite Leave to Remain"))</f>
        <v>0</v>
      </c>
      <c r="D5" s="3">
        <f>COUNTIFS(ILR.PR!$E:$E,"Customers",ILR.PR!T:T,"ILR: Indefinite Leave to Remain")</f>
        <v>0</v>
      </c>
      <c r="E5" s="4">
        <f>COUNTIFS(ILR.PR!T:T,"ILR: Indefinite Leave to Remain")-SUM(Dashboard!B5:D5)</f>
        <v>0</v>
      </c>
    </row>
    <row r="6" spans="1:5" ht="14.65" thickBot="1" x14ac:dyDescent="0.5">
      <c r="A6" s="5" t="s">
        <v>7</v>
      </c>
      <c r="B6" s="6">
        <f>COUNTIFS('Limited Leave'!$E:$E,"Generation")</f>
        <v>0</v>
      </c>
      <c r="C6" s="6">
        <f>SUM(COUNTIFS('Limited Leave'!$E:$E,"Hinkley Point C")+COUNTIFS('Limited Leave'!$E:$E,"Nuclear Development"))</f>
        <v>0</v>
      </c>
      <c r="D6" s="6">
        <f>COUNTIFS('Limited Leave'!$E:$E,"Customers")</f>
        <v>0</v>
      </c>
      <c r="E6" s="7">
        <f>COUNTA('Limited Leave'!$A:$A)-1-SUM(Dashboard!B6:D6)</f>
        <v>0</v>
      </c>
    </row>
    <row r="7" spans="1:5" ht="14.65" thickBot="1" x14ac:dyDescent="0.5">
      <c r="A7" s="1"/>
      <c r="B7" s="1"/>
      <c r="C7" s="1"/>
      <c r="D7" s="1"/>
      <c r="E7" s="1"/>
    </row>
    <row r="8" spans="1:5" ht="14.65" thickBot="1" x14ac:dyDescent="0.5">
      <c r="A8" s="11" t="s">
        <v>8</v>
      </c>
      <c r="B8" s="16" t="s">
        <v>0</v>
      </c>
      <c r="C8" s="16" t="s">
        <v>16</v>
      </c>
      <c r="D8" s="16" t="s">
        <v>1</v>
      </c>
      <c r="E8" s="17" t="s">
        <v>4</v>
      </c>
    </row>
    <row r="9" spans="1:5" x14ac:dyDescent="0.45">
      <c r="A9" s="8" t="s">
        <v>9</v>
      </c>
      <c r="B9" s="9">
        <f>SUM(COUNTIFS('Limited Leave'!$E:$E,"Generation",'Limited Leave'!T:T,"*T2: Tier 2*")+COUNTIFS('Limited Leave'!$E:$E,"Generation",'Limited Leave'!$T:$T,"*T2: Tier  2 G*"))</f>
        <v>0</v>
      </c>
      <c r="C9" s="9">
        <f>SUM(COUNTIFS('Limited Leave'!$E:$E,"Hinkley Point C",'Limited Leave'!$T:$T,"*T2: Tier 2 G*")+COUNTIFS('Limited Leave'!$E:$E,"Hinkley Point C",'Limited Leave'!$T:$T,"*T2: Tier  2 G*"))+(COUNTIFS('Limited Leave'!$E:$E,"Nuclear Development",'Limited Leave'!$T:$T,"*T2: Tier 2 G*")+COUNTIFS('Limited Leave'!$E:$E,"Nuclear Development",'Limited Leave'!$T:$T,"*T2: Tier  2 G*"))</f>
        <v>0</v>
      </c>
      <c r="D9" s="9">
        <f>SUM(COUNTIFS('Limited Leave'!$E:$E,"Customers",'Limited Leave'!$T:$T,"*T2: Tier 2 G*")+COUNTIFS('Limited Leave'!$E:$E,"Customers",'Limited Leave'!$T:$T,"*T2: Tier  2 G*"))</f>
        <v>0</v>
      </c>
      <c r="E9" s="10">
        <f>SUM(COUNTIFS('Limited Leave'!T:T,"*T2: Tier 2 G*")+COUNTIFS('Limited Leave'!T:T,"*T2: Tier  2 G*")-SUM(Dashboard!B9:D9))</f>
        <v>0</v>
      </c>
    </row>
    <row r="10" spans="1:5" ht="14.65" thickBot="1" x14ac:dyDescent="0.5">
      <c r="A10" s="5" t="s">
        <v>10</v>
      </c>
      <c r="B10" s="6">
        <f>COUNTIFS('Limited Leave'!$E:$E,"Generation",'Limited Leave'!T:T,"&lt;&gt;*Tier 2*")</f>
        <v>0</v>
      </c>
      <c r="C10" s="6">
        <f>SUM(COUNTIFS('Limited Leave'!$E:$E,"Hinkley Point C",'Limited Leave'!T:T,"&lt;&gt;*Tier 2*")-COUNTIFS('Limited Leave'!$E:$E,"Hinkley Point C",'Limited Leave'!T:T,"*Tier  2 Gen*"))+(COUNTIFS('Limited Leave'!$E:$E,"Nuclear Development",'Limited Leave'!T:T,"&lt;&gt;*Tier 2*")-COUNTIFS('Limited Leave'!$E:$E,"Nuclear Development",'Limited Leave'!T:T,"*Tier  2 Gen*"))</f>
        <v>0</v>
      </c>
      <c r="D10" s="6">
        <f>COUNTIFS('Limited Leave'!$E:$E,"Customers",'Limited Leave'!T:T,"&lt;&gt;*Tier 2*")</f>
        <v>0</v>
      </c>
      <c r="E10" s="7">
        <f>SUM(B6:E6)-SUM(B9:E9,B10:D10)</f>
        <v>0</v>
      </c>
    </row>
    <row r="13" spans="1:5" ht="18" x14ac:dyDescent="0.55000000000000004">
      <c r="A13" s="13" t="s">
        <v>11</v>
      </c>
      <c r="B13" s="1"/>
      <c r="C13" s="1"/>
      <c r="D13" s="1"/>
      <c r="E13" s="1"/>
    </row>
    <row r="14" spans="1:5" ht="14.65" thickBot="1" x14ac:dyDescent="0.5">
      <c r="A14" s="1"/>
      <c r="B14" s="1"/>
      <c r="C14" s="1"/>
      <c r="D14" s="1"/>
      <c r="E14" s="1"/>
    </row>
    <row r="15" spans="1:5" ht="15.75" x14ac:dyDescent="0.5">
      <c r="A15" s="30" t="s">
        <v>12</v>
      </c>
      <c r="B15" s="31"/>
      <c r="C15" s="32"/>
      <c r="D15" s="1"/>
      <c r="E15" s="1"/>
    </row>
    <row r="16" spans="1:5" x14ac:dyDescent="0.45">
      <c r="A16" s="33" t="s">
        <v>5</v>
      </c>
      <c r="B16" s="34"/>
      <c r="C16" s="14">
        <f>SUM(B4:E4)</f>
        <v>0</v>
      </c>
      <c r="D16" s="1"/>
      <c r="E16" s="1"/>
    </row>
    <row r="17" spans="1:3" x14ac:dyDescent="0.45">
      <c r="A17" s="33" t="s">
        <v>6</v>
      </c>
      <c r="B17" s="34"/>
      <c r="C17" s="14">
        <f>SUM(B5:E5)</f>
        <v>0</v>
      </c>
    </row>
    <row r="18" spans="1:3" ht="14.65" thickBot="1" x14ac:dyDescent="0.5">
      <c r="A18" s="28" t="s">
        <v>7</v>
      </c>
      <c r="B18" s="29"/>
      <c r="C18" s="15">
        <f>SUM(B6:E6)</f>
        <v>0</v>
      </c>
    </row>
    <row r="19" spans="1:3" ht="14.65" thickBot="1" x14ac:dyDescent="0.5">
      <c r="A19" s="1"/>
      <c r="B19" s="1"/>
      <c r="C19" s="1"/>
    </row>
    <row r="20" spans="1:3" ht="15.75" x14ac:dyDescent="0.5">
      <c r="A20" s="30" t="s">
        <v>13</v>
      </c>
      <c r="B20" s="31"/>
      <c r="C20" s="32"/>
    </row>
    <row r="21" spans="1:3" x14ac:dyDescent="0.45">
      <c r="A21" s="33" t="s">
        <v>14</v>
      </c>
      <c r="B21" s="34"/>
      <c r="C21" s="14">
        <f>SUM(B9:E9)</f>
        <v>0</v>
      </c>
    </row>
    <row r="22" spans="1:3" ht="14.65" thickBot="1" x14ac:dyDescent="0.5">
      <c r="A22" s="28" t="s">
        <v>15</v>
      </c>
      <c r="B22" s="29"/>
      <c r="C22" s="15">
        <f>SUM(B10:E10)</f>
        <v>0</v>
      </c>
    </row>
    <row r="23" spans="1:3" ht="14.65" thickBot="1" x14ac:dyDescent="0.5">
      <c r="A23" s="1"/>
      <c r="B23" s="1"/>
      <c r="C23" s="1"/>
    </row>
    <row r="24" spans="1:3" ht="15.75" x14ac:dyDescent="0.5">
      <c r="A24" s="30" t="s">
        <v>53</v>
      </c>
      <c r="B24" s="31"/>
      <c r="C24" s="32"/>
    </row>
    <row r="25" spans="1:3" x14ac:dyDescent="0.45">
      <c r="A25" s="33" t="s">
        <v>54</v>
      </c>
      <c r="B25" s="34"/>
      <c r="C25" s="14">
        <f>COUNT('Changes Check'!A:A)</f>
        <v>0</v>
      </c>
    </row>
    <row r="26" spans="1:3" ht="14.65" thickBot="1" x14ac:dyDescent="0.5">
      <c r="A26" s="28" t="s">
        <v>58</v>
      </c>
      <c r="B26" s="29"/>
      <c r="C26" s="15">
        <v>0</v>
      </c>
    </row>
    <row r="27" spans="1:3" ht="14.65" thickBot="1" x14ac:dyDescent="0.5">
      <c r="A27" s="28" t="s">
        <v>55</v>
      </c>
      <c r="B27" s="29"/>
      <c r="C27" s="15">
        <v>0</v>
      </c>
    </row>
    <row r="28" spans="1:3" ht="14.65" thickBot="1" x14ac:dyDescent="0.5">
      <c r="A28" s="28" t="s">
        <v>56</v>
      </c>
      <c r="B28" s="29"/>
      <c r="C28" s="15">
        <v>0</v>
      </c>
    </row>
    <row r="29" spans="1:3" ht="14.65" thickBot="1" x14ac:dyDescent="0.5">
      <c r="A29" s="28" t="s">
        <v>57</v>
      </c>
      <c r="B29" s="29"/>
      <c r="C29" s="15">
        <v>0</v>
      </c>
    </row>
  </sheetData>
  <mergeCells count="13">
    <mergeCell ref="A20:C20"/>
    <mergeCell ref="A21:B21"/>
    <mergeCell ref="A22:B22"/>
    <mergeCell ref="A15:C15"/>
    <mergeCell ref="A16:B16"/>
    <mergeCell ref="A17:B17"/>
    <mergeCell ref="A18:B18"/>
    <mergeCell ref="A29:B29"/>
    <mergeCell ref="A24:C24"/>
    <mergeCell ref="A25:B25"/>
    <mergeCell ref="A26:B26"/>
    <mergeCell ref="A27:B27"/>
    <mergeCell ref="A28:B2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F1"/>
  <sheetViews>
    <sheetView topLeftCell="Y1" workbookViewId="0">
      <selection activeCell="AA1" sqref="AA1:AC1048576"/>
    </sheetView>
  </sheetViews>
  <sheetFormatPr defaultColWidth="9.1328125" defaultRowHeight="14.25" x14ac:dyDescent="0.45"/>
  <cols>
    <col min="1" max="1" width="16" bestFit="1" customWidth="1"/>
    <col min="2" max="2" width="37.265625" bestFit="1" customWidth="1"/>
    <col min="3" max="3" width="21.59765625" bestFit="1" customWidth="1"/>
    <col min="4" max="4" width="23.265625" bestFit="1" customWidth="1"/>
    <col min="5" max="5" width="23.1328125" bestFit="1" customWidth="1"/>
    <col min="6" max="6" width="26.86328125" bestFit="1" customWidth="1"/>
    <col min="7" max="7" width="36.1328125" bestFit="1" customWidth="1"/>
    <col min="8" max="8" width="36.265625" bestFit="1" customWidth="1"/>
    <col min="9" max="9" width="25.73046875" bestFit="1" customWidth="1"/>
    <col min="10" max="10" width="24" bestFit="1" customWidth="1"/>
    <col min="11" max="11" width="23.86328125" bestFit="1" customWidth="1"/>
    <col min="12" max="12" width="23" bestFit="1" customWidth="1"/>
    <col min="13" max="13" width="17.86328125" bestFit="1" customWidth="1"/>
    <col min="14" max="14" width="19" bestFit="1" customWidth="1"/>
    <col min="15" max="15" width="16.73046875" bestFit="1" customWidth="1"/>
    <col min="16" max="16" width="9.59765625" bestFit="1" customWidth="1"/>
    <col min="17" max="17" width="13.1328125" bestFit="1" customWidth="1"/>
    <col min="18" max="18" width="18.3984375" bestFit="1" customWidth="1"/>
    <col min="19" max="19" width="8.1328125" bestFit="1" customWidth="1"/>
    <col min="20" max="20" width="30.265625" bestFit="1" customWidth="1"/>
    <col min="21" max="21" width="20.59765625" bestFit="1" customWidth="1"/>
    <col min="22" max="22" width="21" style="23" bestFit="1" customWidth="1"/>
    <col min="23" max="23" width="21" bestFit="1" customWidth="1"/>
    <col min="24" max="24" width="16" bestFit="1" customWidth="1"/>
    <col min="25" max="25" width="19.1328125" bestFit="1" customWidth="1"/>
    <col min="26" max="26" width="17.3984375" bestFit="1" customWidth="1"/>
    <col min="27" max="27" width="11.265625" bestFit="1" customWidth="1"/>
    <col min="28" max="28" width="22.86328125" style="21" bestFit="1" customWidth="1"/>
    <col min="29" max="29" width="7.3984375" bestFit="1" customWidth="1"/>
    <col min="30" max="30" width="16" bestFit="1" customWidth="1"/>
    <col min="31" max="31" width="15" bestFit="1" customWidth="1"/>
    <col min="32" max="32" width="54.3984375" style="24" bestFit="1" customWidth="1"/>
  </cols>
  <sheetData>
    <row r="1" spans="1:32" x14ac:dyDescent="0.45">
      <c r="A1" s="19" t="s">
        <v>17</v>
      </c>
      <c r="B1" s="19" t="s">
        <v>18</v>
      </c>
      <c r="C1" s="19" t="s">
        <v>19</v>
      </c>
      <c r="D1" s="19" t="s">
        <v>20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19" t="s">
        <v>29</v>
      </c>
      <c r="N1" s="19" t="s">
        <v>30</v>
      </c>
      <c r="O1" s="19" t="s">
        <v>31</v>
      </c>
      <c r="P1" s="19" t="s">
        <v>32</v>
      </c>
      <c r="Q1" s="19" t="s">
        <v>33</v>
      </c>
      <c r="R1" s="19" t="s">
        <v>34</v>
      </c>
      <c r="S1" s="19" t="s">
        <v>45</v>
      </c>
      <c r="T1" s="19" t="s">
        <v>35</v>
      </c>
      <c r="U1" s="19" t="s">
        <v>36</v>
      </c>
      <c r="V1" s="22" t="s">
        <v>37</v>
      </c>
      <c r="W1" s="22" t="s">
        <v>38</v>
      </c>
      <c r="X1" s="19" t="s">
        <v>39</v>
      </c>
      <c r="Y1" s="22" t="s">
        <v>40</v>
      </c>
      <c r="Z1" s="22" t="s">
        <v>41</v>
      </c>
      <c r="AA1" s="22" t="s">
        <v>42</v>
      </c>
      <c r="AB1" s="20" t="s">
        <v>43</v>
      </c>
      <c r="AC1" s="19" t="s">
        <v>44</v>
      </c>
      <c r="AD1" s="19" t="s">
        <v>49</v>
      </c>
      <c r="AE1" s="19" t="s">
        <v>50</v>
      </c>
      <c r="AF1" s="25" t="s">
        <v>46</v>
      </c>
    </row>
  </sheetData>
  <autoFilter ref="A1:AF1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AG2"/>
  <sheetViews>
    <sheetView workbookViewId="0">
      <pane xSplit="2" ySplit="1" topLeftCell="Z2" activePane="bottomRight" state="frozen"/>
      <selection pane="topRight" activeCell="C1" sqref="C1"/>
      <selection pane="bottomLeft" activeCell="A2" sqref="A2"/>
      <selection pane="bottomRight" activeCell="AA1" sqref="AA1:AC1048576"/>
    </sheetView>
  </sheetViews>
  <sheetFormatPr defaultColWidth="9.1328125" defaultRowHeight="14.25" x14ac:dyDescent="0.45"/>
  <cols>
    <col min="1" max="1" width="18.1328125" bestFit="1" customWidth="1"/>
    <col min="2" max="2" width="30.1328125" bestFit="1" customWidth="1"/>
    <col min="3" max="3" width="17.86328125" bestFit="1" customWidth="1"/>
    <col min="4" max="4" width="15.1328125" bestFit="1" customWidth="1"/>
    <col min="5" max="5" width="23.1328125" bestFit="1" customWidth="1"/>
    <col min="6" max="6" width="26.86328125" bestFit="1" customWidth="1"/>
    <col min="7" max="7" width="29.1328125" bestFit="1" customWidth="1"/>
    <col min="8" max="8" width="33" bestFit="1" customWidth="1"/>
    <col min="9" max="9" width="28" bestFit="1" customWidth="1"/>
    <col min="10" max="10" width="26.265625" bestFit="1" customWidth="1"/>
    <col min="11" max="11" width="26" bestFit="1" customWidth="1"/>
    <col min="12" max="12" width="23.1328125" bestFit="1" customWidth="1"/>
    <col min="13" max="13" width="19.265625" bestFit="1" customWidth="1"/>
    <col min="14" max="14" width="15.86328125" bestFit="1" customWidth="1"/>
    <col min="15" max="15" width="14.59765625" bestFit="1" customWidth="1"/>
    <col min="16" max="16" width="11" bestFit="1" customWidth="1"/>
    <col min="17" max="17" width="15.265625" bestFit="1" customWidth="1"/>
    <col min="18" max="18" width="20.59765625" bestFit="1" customWidth="1"/>
    <col min="19" max="19" width="10.3984375" bestFit="1" customWidth="1"/>
    <col min="20" max="20" width="43.1328125" bestFit="1" customWidth="1"/>
    <col min="21" max="21" width="22.86328125" bestFit="1" customWidth="1"/>
    <col min="22" max="22" width="23.265625" style="23" bestFit="1" customWidth="1"/>
    <col min="23" max="23" width="23.1328125" bestFit="1" customWidth="1"/>
    <col min="24" max="24" width="17" bestFit="1" customWidth="1"/>
    <col min="25" max="25" width="21.265625" bestFit="1" customWidth="1"/>
    <col min="26" max="26" width="19.73046875" bestFit="1" customWidth="1"/>
    <col min="27" max="27" width="13.59765625" bestFit="1" customWidth="1"/>
    <col min="28" max="28" width="25" style="21" bestFit="1" customWidth="1"/>
    <col min="29" max="29" width="9.59765625" bestFit="1" customWidth="1"/>
    <col min="30" max="31" width="9.59765625" customWidth="1"/>
    <col min="32" max="32" width="73.86328125" style="24" bestFit="1" customWidth="1"/>
    <col min="33" max="33" width="17" customWidth="1"/>
  </cols>
  <sheetData>
    <row r="1" spans="1:33" x14ac:dyDescent="0.45">
      <c r="A1" s="19" t="s">
        <v>17</v>
      </c>
      <c r="B1" s="19" t="s">
        <v>18</v>
      </c>
      <c r="C1" s="19" t="s">
        <v>19</v>
      </c>
      <c r="D1" s="19" t="s">
        <v>20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19" t="s">
        <v>29</v>
      </c>
      <c r="N1" s="19" t="s">
        <v>30</v>
      </c>
      <c r="O1" s="19" t="s">
        <v>31</v>
      </c>
      <c r="P1" s="19" t="s">
        <v>32</v>
      </c>
      <c r="Q1" s="19" t="s">
        <v>33</v>
      </c>
      <c r="R1" s="19" t="s">
        <v>34</v>
      </c>
      <c r="S1" s="19" t="s">
        <v>48</v>
      </c>
      <c r="T1" s="19" t="s">
        <v>35</v>
      </c>
      <c r="U1" s="19" t="s">
        <v>36</v>
      </c>
      <c r="V1" s="22" t="s">
        <v>37</v>
      </c>
      <c r="W1" s="22" t="s">
        <v>38</v>
      </c>
      <c r="X1" s="19" t="s">
        <v>39</v>
      </c>
      <c r="Y1" s="22" t="s">
        <v>40</v>
      </c>
      <c r="Z1" s="22" t="s">
        <v>41</v>
      </c>
      <c r="AA1" s="22" t="s">
        <v>42</v>
      </c>
      <c r="AB1" s="20" t="s">
        <v>43</v>
      </c>
      <c r="AC1" s="19" t="s">
        <v>44</v>
      </c>
      <c r="AD1" s="19" t="s">
        <v>49</v>
      </c>
      <c r="AE1" s="19" t="s">
        <v>51</v>
      </c>
      <c r="AF1" s="25" t="s">
        <v>46</v>
      </c>
      <c r="AG1" s="27" t="s">
        <v>52</v>
      </c>
    </row>
    <row r="2" spans="1:33" x14ac:dyDescent="0.45">
      <c r="AG2" s="23"/>
    </row>
  </sheetData>
  <autoFilter ref="A1:AF1" xr:uid="{00000000-0009-0000-0000-000002000000}"/>
  <printOptions gridLines="1"/>
  <pageMargins left="0.70866141732283472" right="0.70866141732283472" top="0.74803149606299213" bottom="0.74803149606299213" header="0.31496062992125984" footer="0.31496062992125984"/>
  <pageSetup paperSize="8" scale="7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F1"/>
  <sheetViews>
    <sheetView tabSelected="1" topLeftCell="X1" workbookViewId="0">
      <selection activeCell="AF9" sqref="AF9"/>
    </sheetView>
  </sheetViews>
  <sheetFormatPr defaultColWidth="11.3984375" defaultRowHeight="14.25" x14ac:dyDescent="0.45"/>
  <cols>
    <col min="1" max="1" width="18.1328125" bestFit="1" customWidth="1"/>
    <col min="2" max="2" width="37.265625" bestFit="1" customWidth="1"/>
    <col min="3" max="3" width="21.59765625" bestFit="1" customWidth="1"/>
    <col min="4" max="4" width="23.265625" bestFit="1" customWidth="1"/>
    <col min="5" max="5" width="23.1328125" bestFit="1" customWidth="1"/>
    <col min="6" max="6" width="26.86328125" bestFit="1" customWidth="1"/>
    <col min="7" max="7" width="36.1328125" bestFit="1" customWidth="1"/>
    <col min="8" max="8" width="36.265625" bestFit="1" customWidth="1"/>
    <col min="9" max="9" width="28" bestFit="1" customWidth="1"/>
    <col min="10" max="10" width="26.265625" bestFit="1" customWidth="1"/>
    <col min="11" max="11" width="26" bestFit="1" customWidth="1"/>
    <col min="12" max="12" width="23.1328125" bestFit="1" customWidth="1"/>
    <col min="13" max="13" width="19.265625" bestFit="1" customWidth="1"/>
    <col min="14" max="14" width="19" bestFit="1" customWidth="1"/>
    <col min="15" max="15" width="16.73046875" bestFit="1" customWidth="1"/>
    <col min="16" max="16" width="11" bestFit="1" customWidth="1"/>
    <col min="17" max="17" width="15.265625" bestFit="1" customWidth="1"/>
    <col min="18" max="18" width="20.59765625" bestFit="1" customWidth="1"/>
    <col min="19" max="19" width="10.3984375" bestFit="1" customWidth="1"/>
    <col min="20" max="20" width="43.1328125" bestFit="1" customWidth="1"/>
    <col min="21" max="21" width="22.86328125" bestFit="1" customWidth="1"/>
    <col min="22" max="22" width="23.265625" style="23" bestFit="1" customWidth="1"/>
    <col min="23" max="23" width="23.1328125" style="23" bestFit="1" customWidth="1"/>
    <col min="24" max="24" width="17" bestFit="1" customWidth="1"/>
    <col min="25" max="25" width="21.265625" style="23" bestFit="1" customWidth="1"/>
    <col min="26" max="26" width="19.73046875" style="23" bestFit="1" customWidth="1"/>
    <col min="27" max="27" width="13.59765625" style="23" bestFit="1" customWidth="1"/>
    <col min="28" max="28" width="25" style="21" bestFit="1" customWidth="1"/>
    <col min="29" max="29" width="9.59765625" bestFit="1" customWidth="1"/>
    <col min="30" max="30" width="17.73046875" bestFit="1" customWidth="1"/>
    <col min="31" max="31" width="12.86328125" bestFit="1" customWidth="1"/>
    <col min="32" max="32" width="21.86328125" customWidth="1"/>
  </cols>
  <sheetData>
    <row r="1" spans="1:32" x14ac:dyDescent="0.45">
      <c r="A1" s="19" t="s">
        <v>17</v>
      </c>
      <c r="B1" s="19" t="s">
        <v>18</v>
      </c>
      <c r="C1" s="19" t="s">
        <v>19</v>
      </c>
      <c r="D1" s="19" t="s">
        <v>20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19" t="s">
        <v>29</v>
      </c>
      <c r="N1" s="19" t="s">
        <v>30</v>
      </c>
      <c r="O1" s="19" t="s">
        <v>31</v>
      </c>
      <c r="P1" s="19" t="s">
        <v>32</v>
      </c>
      <c r="Q1" s="19" t="s">
        <v>33</v>
      </c>
      <c r="R1" s="19" t="s">
        <v>34</v>
      </c>
      <c r="S1" s="19" t="s">
        <v>45</v>
      </c>
      <c r="T1" s="19" t="s">
        <v>35</v>
      </c>
      <c r="U1" s="19" t="s">
        <v>36</v>
      </c>
      <c r="V1" s="22" t="s">
        <v>37</v>
      </c>
      <c r="W1" s="22" t="s">
        <v>38</v>
      </c>
      <c r="X1" s="19" t="s">
        <v>39</v>
      </c>
      <c r="Y1" s="22" t="s">
        <v>40</v>
      </c>
      <c r="Z1" s="22" t="s">
        <v>41</v>
      </c>
      <c r="AA1" s="22" t="s">
        <v>42</v>
      </c>
      <c r="AB1" s="20" t="s">
        <v>43</v>
      </c>
      <c r="AC1" s="19" t="s">
        <v>44</v>
      </c>
      <c r="AD1" s="19" t="s">
        <v>49</v>
      </c>
      <c r="AE1" s="19" t="s">
        <v>50</v>
      </c>
      <c r="AF1" s="25" t="s">
        <v>46</v>
      </c>
    </row>
  </sheetData>
  <autoFilter ref="A1:AD1" xr:uid="{00000000-0009-0000-0000-000003000000}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AF1"/>
  <sheetViews>
    <sheetView workbookViewId="0">
      <pane xSplit="2" ySplit="1" topLeftCell="Z2" activePane="bottomRight" state="frozen"/>
      <selection pane="topRight" activeCell="C1" sqref="C1"/>
      <selection pane="bottomLeft" activeCell="A2" sqref="A2"/>
      <selection pane="bottomRight" activeCell="AA1" sqref="AA1:AC1048576"/>
    </sheetView>
  </sheetViews>
  <sheetFormatPr defaultColWidth="9.1328125" defaultRowHeight="14.25" x14ac:dyDescent="0.45"/>
  <cols>
    <col min="1" max="1" width="16" bestFit="1" customWidth="1"/>
    <col min="2" max="2" width="25" bestFit="1" customWidth="1"/>
    <col min="3" max="3" width="21.59765625" bestFit="1" customWidth="1"/>
    <col min="4" max="4" width="15.86328125" bestFit="1" customWidth="1"/>
    <col min="5" max="5" width="12.59765625" bestFit="1" customWidth="1"/>
    <col min="6" max="6" width="26.86328125" bestFit="1" customWidth="1"/>
    <col min="7" max="7" width="29.1328125" bestFit="1" customWidth="1"/>
    <col min="8" max="8" width="32.86328125" bestFit="1" customWidth="1"/>
    <col min="9" max="9" width="25.73046875" bestFit="1" customWidth="1"/>
    <col min="10" max="10" width="24" bestFit="1" customWidth="1"/>
    <col min="11" max="11" width="23.86328125" bestFit="1" customWidth="1"/>
    <col min="12" max="12" width="23" bestFit="1" customWidth="1"/>
    <col min="13" max="13" width="18.59765625" bestFit="1" customWidth="1"/>
    <col min="14" max="14" width="15.86328125" bestFit="1" customWidth="1"/>
    <col min="15" max="15" width="14.59765625" bestFit="1" customWidth="1"/>
    <col min="16" max="16" width="9" bestFit="1" customWidth="1"/>
    <col min="17" max="17" width="13.1328125" bestFit="1" customWidth="1"/>
    <col min="18" max="18" width="18.3984375" bestFit="1" customWidth="1"/>
    <col min="19" max="19" width="8.1328125" bestFit="1" customWidth="1"/>
    <col min="20" max="20" width="23.3984375" bestFit="1" customWidth="1"/>
    <col min="21" max="21" width="20.59765625" bestFit="1" customWidth="1"/>
    <col min="22" max="23" width="21" style="23" bestFit="1" customWidth="1"/>
    <col min="24" max="24" width="14.86328125" bestFit="1" customWidth="1"/>
    <col min="25" max="25" width="19.1328125" style="23" bestFit="1" customWidth="1"/>
    <col min="26" max="26" width="17.3984375" style="23" bestFit="1" customWidth="1"/>
    <col min="27" max="27" width="11.265625" style="23" bestFit="1" customWidth="1"/>
    <col min="28" max="28" width="22.86328125" style="21" bestFit="1" customWidth="1"/>
    <col min="29" max="29" width="7.3984375" bestFit="1" customWidth="1"/>
    <col min="30" max="30" width="26.59765625" style="26" customWidth="1"/>
    <col min="31" max="31" width="14.86328125" customWidth="1"/>
    <col min="32" max="32" width="32.1328125" customWidth="1"/>
  </cols>
  <sheetData>
    <row r="1" spans="1:32" x14ac:dyDescent="0.45">
      <c r="A1" s="19" t="s">
        <v>17</v>
      </c>
      <c r="B1" s="19" t="s">
        <v>18</v>
      </c>
      <c r="C1" s="19" t="s">
        <v>19</v>
      </c>
      <c r="D1" s="19" t="s">
        <v>20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19" t="s">
        <v>29</v>
      </c>
      <c r="N1" s="19" t="s">
        <v>30</v>
      </c>
      <c r="O1" s="19" t="s">
        <v>31</v>
      </c>
      <c r="P1" s="19" t="s">
        <v>32</v>
      </c>
      <c r="Q1" s="19" t="s">
        <v>33</v>
      </c>
      <c r="R1" s="19" t="s">
        <v>34</v>
      </c>
      <c r="S1" s="19" t="s">
        <v>45</v>
      </c>
      <c r="T1" s="19" t="s">
        <v>35</v>
      </c>
      <c r="U1" s="19" t="s">
        <v>36</v>
      </c>
      <c r="V1" s="22" t="s">
        <v>37</v>
      </c>
      <c r="W1" s="22" t="s">
        <v>38</v>
      </c>
      <c r="X1" s="19" t="s">
        <v>39</v>
      </c>
      <c r="Y1" s="22" t="s">
        <v>40</v>
      </c>
      <c r="Z1" s="22" t="s">
        <v>41</v>
      </c>
      <c r="AA1" s="22" t="s">
        <v>42</v>
      </c>
      <c r="AB1" s="20" t="s">
        <v>43</v>
      </c>
      <c r="AC1" s="19" t="s">
        <v>44</v>
      </c>
      <c r="AD1" s="19" t="s">
        <v>49</v>
      </c>
      <c r="AE1" s="19" t="s">
        <v>50</v>
      </c>
      <c r="AF1" s="25" t="s">
        <v>46</v>
      </c>
    </row>
  </sheetData>
  <conditionalFormatting sqref="A1 B2:AB121">
    <cfRule type="expression" dxfId="1" priority="3">
      <formula>#REF!=1</formula>
    </cfRule>
  </conditionalFormatting>
  <conditionalFormatting sqref="AC2:AC121">
    <cfRule type="expression" dxfId="0" priority="6">
      <formula>#REF!=1</formula>
    </cfRule>
  </conditionalFormatting>
  <printOptions gridLines="1"/>
  <pageMargins left="0.70866141732283472" right="0.70866141732283472" top="0.74803149606299213" bottom="0.74803149606299213" header="0.31496062992125984" footer="0.31496062992125984"/>
  <pageSetup paperSize="8" scale="7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C1"/>
  <sheetViews>
    <sheetView workbookViewId="0">
      <selection activeCell="I12" sqref="I12"/>
    </sheetView>
  </sheetViews>
  <sheetFormatPr defaultRowHeight="14.25" x14ac:dyDescent="0.45"/>
  <cols>
    <col min="1" max="1" width="24.59765625" style="18" customWidth="1"/>
    <col min="2" max="2" width="22.86328125" style="18" customWidth="1"/>
    <col min="3" max="3" width="22" style="18" customWidth="1"/>
  </cols>
  <sheetData>
    <row r="1" spans="1:3" x14ac:dyDescent="0.45">
      <c r="A1" s="19" t="s">
        <v>17</v>
      </c>
      <c r="B1" s="19" t="s">
        <v>18</v>
      </c>
      <c r="C1" s="19" t="s">
        <v>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1"/>
  <sheetViews>
    <sheetView workbookViewId="0">
      <selection activeCell="B5" sqref="B5"/>
    </sheetView>
  </sheetViews>
  <sheetFormatPr defaultRowHeight="14.25" x14ac:dyDescent="0.45"/>
  <cols>
    <col min="1" max="1" width="24.59765625" style="18" customWidth="1"/>
    <col min="2" max="2" width="22.86328125" style="18" customWidth="1"/>
    <col min="3" max="3" width="22" style="18" customWidth="1"/>
  </cols>
  <sheetData>
    <row r="1" spans="1:3" x14ac:dyDescent="0.45">
      <c r="A1" s="19" t="s">
        <v>17</v>
      </c>
      <c r="B1" s="19" t="s">
        <v>18</v>
      </c>
      <c r="C1" s="19" t="s">
        <v>47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77FF3B09E8A24DB02E7FEC80AE9764" ma:contentTypeVersion="" ma:contentTypeDescription="Create a new document." ma:contentTypeScope="" ma:versionID="771e5255a65ee77a2ec1d678f77a4e9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DB3DAF4-9BB7-43A6-BB5E-E1EE41C748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D4C08AE-F06C-4030-AA82-DE406E31E17A}">
  <ds:schemaRefs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CB4241E-CD36-41F1-9D2E-44F3B5E7D98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ILR.PR</vt:lpstr>
      <vt:lpstr>Limited Leave</vt:lpstr>
      <vt:lpstr>SF16</vt:lpstr>
      <vt:lpstr>Changes Check</vt:lpstr>
      <vt:lpstr>Leavers</vt:lpstr>
      <vt:lpstr>Joiners</vt:lpstr>
    </vt:vector>
  </TitlesOfParts>
  <Company>EDF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Seeruthun, Vinay</dc:creator>
  <cp:lastModifiedBy>Laimins, Ugis</cp:lastModifiedBy>
  <cp:lastPrinted>2019-09-03T09:34:16Z</cp:lastPrinted>
  <dcterms:created xsi:type="dcterms:W3CDTF">2016-02-01T14:29:59Z</dcterms:created>
  <dcterms:modified xsi:type="dcterms:W3CDTF">2019-11-22T15:34:18Z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0x010100E277FF3B09E8A24DB02E7FEC80AE9764</vt:lpwstr>
  </property>
</Properties>
</file>