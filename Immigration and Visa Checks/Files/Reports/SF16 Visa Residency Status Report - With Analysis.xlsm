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imi1u\Desktop\Immigration and Visa Checks\Files\Reports\"/>
    </mc:Choice>
  </mc:AlternateContent>
  <xr:revisionPtr revIDLastSave="0" documentId="13_ncr:1_{C3E53A20-873C-415D-B748-80E7B27932CC}" xr6:coauthVersionLast="36" xr6:coauthVersionMax="36" xr10:uidLastSave="{00000000-0000-0000-0000-000000000000}"/>
  <bookViews>
    <workbookView xWindow="1080" yWindow="6690" windowWidth="18195" windowHeight="10890" xr2:uid="{00000000-000D-0000-FFFF-FFFF00000000}"/>
  </bookViews>
  <sheets>
    <sheet name="Dashboard" sheetId="2" r:id="rId1"/>
    <sheet name="ILR.PR" sheetId="3" r:id="rId2"/>
    <sheet name="Limited Leave" sheetId="5" r:id="rId3"/>
    <sheet name="SF16" sheetId="1" r:id="rId4"/>
    <sheet name="Changes Check" sheetId="6" r:id="rId5"/>
    <sheet name="Leavers" sheetId="7" r:id="rId6"/>
    <sheet name="Joiners" sheetId="9" r:id="rId7"/>
  </sheets>
  <definedNames>
    <definedName name="_xlnm._FilterDatabase" localSheetId="4" hidden="1">'Changes Check'!$A$1:$AD$1</definedName>
    <definedName name="_xlnm._FilterDatabase" localSheetId="1" hidden="1">ILR.PR!$A$1:$AF$1</definedName>
    <definedName name="_xlnm._FilterDatabase" localSheetId="6" hidden="1">Joiners!$A$1:$C$1</definedName>
    <definedName name="_xlnm._FilterDatabase" localSheetId="5" hidden="1">Leavers!$A$1:$C$1</definedName>
    <definedName name="_xlnm._FilterDatabase" localSheetId="2" hidden="1">'Limited Leave'!$A$1:$AF$1</definedName>
    <definedName name="_xlnm._FilterDatabase" localSheetId="3" hidden="1">'SF16'!$A$1:$AD$1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" l="1"/>
  <c r="B4" i="2" l="1"/>
  <c r="D10" i="2" l="1"/>
  <c r="C10" i="2"/>
  <c r="B10" i="2"/>
  <c r="D9" i="2"/>
  <c r="C9" i="2"/>
  <c r="B9" i="2"/>
  <c r="D6" i="2"/>
  <c r="D5" i="2"/>
  <c r="D4" i="2"/>
  <c r="C6" i="2"/>
  <c r="C5" i="2"/>
  <c r="C4" i="2"/>
  <c r="B6" i="2"/>
  <c r="B5" i="2"/>
  <c r="E4" i="2" l="1"/>
  <c r="C16" i="2" s="1"/>
  <c r="E5" i="2"/>
  <c r="C17" i="2" s="1"/>
  <c r="E6" i="2"/>
  <c r="E9" i="2"/>
  <c r="C21" i="2" s="1"/>
  <c r="E10" i="2" l="1"/>
  <c r="C22" i="2" s="1"/>
  <c r="C18" i="2"/>
</calcChain>
</file>

<file path=xl/sharedStrings.xml><?xml version="1.0" encoding="utf-8"?>
<sst xmlns="http://schemas.openxmlformats.org/spreadsheetml/2006/main" count="7638" uniqueCount="1539">
  <si>
    <t>Generation</t>
  </si>
  <si>
    <t>Customers</t>
  </si>
  <si>
    <t>Immigration Dashboard</t>
  </si>
  <si>
    <t>Breakdown by Business Unit</t>
  </si>
  <si>
    <t>Other</t>
  </si>
  <si>
    <t>Employees with Permanent Residence/Citizenship</t>
  </si>
  <si>
    <t>Employees with Indefinite Leave</t>
  </si>
  <si>
    <t>Employees with Limited Leave</t>
  </si>
  <si>
    <t>Limited Leave Breakdown</t>
  </si>
  <si>
    <t>Tier 2 Sponsorship under company licence</t>
  </si>
  <si>
    <t>Other personal visa</t>
  </si>
  <si>
    <t>Weekly Totals</t>
  </si>
  <si>
    <t>Employees with Immigration Implications</t>
  </si>
  <si>
    <t>Limited Leave Visa Breakdown</t>
  </si>
  <si>
    <t>Tier 2 Sponsorship (incl UKBA WP)</t>
  </si>
  <si>
    <t>All other visa types</t>
  </si>
  <si>
    <t>Hinkley Point C/Nuclear Development</t>
  </si>
  <si>
    <t>Employee Number</t>
  </si>
  <si>
    <t>Name</t>
  </si>
  <si>
    <t>Nationality (Label)</t>
  </si>
  <si>
    <t>Mgr Name</t>
  </si>
  <si>
    <t>Unit</t>
  </si>
  <si>
    <t>Function</t>
  </si>
  <si>
    <t>Sub Function</t>
  </si>
  <si>
    <t>Position Position Title</t>
  </si>
  <si>
    <t>Work Schedule (externalCode)</t>
  </si>
  <si>
    <t>Contractual Location (Name)</t>
  </si>
  <si>
    <t>Designated Location (Name)</t>
  </si>
  <si>
    <t>Address Line 1</t>
  </si>
  <si>
    <t>Address Line 2</t>
  </si>
  <si>
    <t>Address Line 3</t>
  </si>
  <si>
    <t>City</t>
  </si>
  <si>
    <t>Post Code</t>
  </si>
  <si>
    <t>Phone Number</t>
  </si>
  <si>
    <t>Sponsor Mgt Number</t>
  </si>
  <si>
    <t>Type (Label)</t>
  </si>
  <si>
    <t>Residence Status (Label)</t>
  </si>
  <si>
    <t>Last Annual Review Date</t>
  </si>
  <si>
    <t>Sponsor Mgt Expiry Date</t>
  </si>
  <si>
    <t>LTR/Visa Number</t>
  </si>
  <si>
    <t>LTR/Visa Date Granted</t>
  </si>
  <si>
    <t>LTR/Visa Expiry Date</t>
  </si>
  <si>
    <t>Created Date</t>
  </si>
  <si>
    <t>Contractual Working Hours</t>
  </si>
  <si>
    <t>Amount</t>
  </si>
  <si>
    <t>Visa type</t>
  </si>
  <si>
    <t>Further Comments</t>
  </si>
  <si>
    <t>Employment Status</t>
  </si>
  <si>
    <t>Employee Email</t>
  </si>
  <si>
    <t>Manager Email</t>
  </si>
  <si>
    <t>Date Email Sent</t>
  </si>
  <si>
    <t>HR Reporting Breakdown</t>
  </si>
  <si>
    <t>No. of Changes Identified</t>
  </si>
  <si>
    <t>No. of Leavers Identified</t>
  </si>
  <si>
    <t>No. of Joiners Identified</t>
  </si>
  <si>
    <t>No. of Comments Added by Robot</t>
  </si>
  <si>
    <t>No. of Emails Sent</t>
  </si>
  <si>
    <t>Mrs Roelien Platt</t>
  </si>
  <si>
    <t>British</t>
  </si>
  <si>
    <t>Fiona Boyle</t>
  </si>
  <si>
    <t>Finance</t>
  </si>
  <si>
    <t>Financial Control</t>
  </si>
  <si>
    <t>Treasury</t>
  </si>
  <si>
    <t>Treasury Analyst</t>
  </si>
  <si>
    <t>Z37_5</t>
  </si>
  <si>
    <t>Interchange CR02AJ</t>
  </si>
  <si>
    <t>24 Curf Way</t>
  </si>
  <si>
    <t>Burgess Hill</t>
  </si>
  <si>
    <t>RH15 0GE</t>
  </si>
  <si>
    <t>PR: Permanent Residency/Citizenship</t>
  </si>
  <si>
    <t>9002 - Right to Work</t>
  </si>
  <si>
    <t>ugis.laimins@edfenergy.com</t>
  </si>
  <si>
    <t>Mr Ralph Boston Azagoh-Kouadio</t>
  </si>
  <si>
    <t>Amit Chaturvedi</t>
  </si>
  <si>
    <t>Sales and Marketing</t>
  </si>
  <si>
    <t>Energy Solutions</t>
  </si>
  <si>
    <t>Data Administrator 3</t>
  </si>
  <si>
    <t>Bexleyheath DA6 8ET</t>
  </si>
  <si>
    <t>3 Silbury House</t>
  </si>
  <si>
    <t>Sydenham Hill</t>
  </si>
  <si>
    <t>London</t>
  </si>
  <si>
    <t>SE26 6TU</t>
  </si>
  <si>
    <t>Mr Amit Chaturvedi</t>
  </si>
  <si>
    <t>Indian</t>
  </si>
  <si>
    <t>Kevin Mitchell</t>
  </si>
  <si>
    <t>Team Manager</t>
  </si>
  <si>
    <t>40 Tarragon Road</t>
  </si>
  <si>
    <t>Maidstone</t>
  </si>
  <si>
    <t>ME16 0NG</t>
  </si>
  <si>
    <t>Mrs Zulpha Epstein</t>
  </si>
  <si>
    <t>South African</t>
  </si>
  <si>
    <t>Paul Skirrow</t>
  </si>
  <si>
    <t>Internal Audit, Risk &amp; Control</t>
  </si>
  <si>
    <t>Risk &amp; Internal Control</t>
  </si>
  <si>
    <t>Policy Governance &amp; Internal Control Lea</t>
  </si>
  <si>
    <t>318 Eden Park Avenue</t>
  </si>
  <si>
    <t>Beckenham</t>
  </si>
  <si>
    <t>BR3 3JL</t>
  </si>
  <si>
    <t>ILR: Indefinite Leave to Remain</t>
  </si>
  <si>
    <t>RC9086216</t>
  </si>
  <si>
    <t>Mrs Lesley Hamman</t>
  </si>
  <si>
    <t>Chelsey Woodham</t>
  </si>
  <si>
    <t>Customer Operations</t>
  </si>
  <si>
    <t>Customer Services</t>
  </si>
  <si>
    <t>Customer Service Advisor</t>
  </si>
  <si>
    <t>Portland Rd BN3 5SU</t>
  </si>
  <si>
    <t>5 Fennel Walk</t>
  </si>
  <si>
    <t>Shoreham By Sea</t>
  </si>
  <si>
    <t>BN43 6JD</t>
  </si>
  <si>
    <t>01273 591609</t>
  </si>
  <si>
    <t>Mr Srinath Wettasinghe</t>
  </si>
  <si>
    <t>Myriam Sakkej</t>
  </si>
  <si>
    <t>Accounting &amp; Consolidation</t>
  </si>
  <si>
    <t>Senior CoE Accountant</t>
  </si>
  <si>
    <t>90 Whitfield Street</t>
  </si>
  <si>
    <t>6 Orchard Close</t>
  </si>
  <si>
    <t>Northolt</t>
  </si>
  <si>
    <t>UB5 4LP</t>
  </si>
  <si>
    <t>0208 422 8570</t>
  </si>
  <si>
    <t>Mrs Simone Mastromarino</t>
  </si>
  <si>
    <t>Oliver Hunt</t>
  </si>
  <si>
    <t>24 Chatham Road</t>
  </si>
  <si>
    <t>Worthing</t>
  </si>
  <si>
    <t>BN11 2SP</t>
  </si>
  <si>
    <t>01903 820894</t>
  </si>
  <si>
    <t>Mr Simon Hovell</t>
  </si>
  <si>
    <t>David Tsang</t>
  </si>
  <si>
    <t>Business Change and IT</t>
  </si>
  <si>
    <t>Portfolio Delivery</t>
  </si>
  <si>
    <t>PMO Analyst</t>
  </si>
  <si>
    <t>Z37_5_VW</t>
  </si>
  <si>
    <t>Gadeon House EX1 3UT</t>
  </si>
  <si>
    <t>108 Hawkins Road</t>
  </si>
  <si>
    <t>Exeter</t>
  </si>
  <si>
    <t>EX1 3UX</t>
  </si>
  <si>
    <t>RC2601873</t>
  </si>
  <si>
    <t>Mrs Sonal Goff</t>
  </si>
  <si>
    <t>Tanzanian</t>
  </si>
  <si>
    <t>Mike Walsh</t>
  </si>
  <si>
    <t>Team Performance Coach</t>
  </si>
  <si>
    <t>7 Chappell Croft</t>
  </si>
  <si>
    <t>Mill Road</t>
  </si>
  <si>
    <t>BN11 4JL</t>
  </si>
  <si>
    <t>UK1672285</t>
  </si>
  <si>
    <t>Ms Svetlana Dmitriyeva</t>
  </si>
  <si>
    <t>Russian</t>
  </si>
  <si>
    <t>Krystina Orchard</t>
  </si>
  <si>
    <t>I&amp;C Operations</t>
  </si>
  <si>
    <t>19 Powhay Mills</t>
  </si>
  <si>
    <t>Tudor Street</t>
  </si>
  <si>
    <t>EX4 3BT</t>
  </si>
  <si>
    <t>01392 420979</t>
  </si>
  <si>
    <t>Miss Emily Staveley</t>
  </si>
  <si>
    <t>Nigerian</t>
  </si>
  <si>
    <t>Donna Thirlaway</t>
  </si>
  <si>
    <t>Customer Services Advisor</t>
  </si>
  <si>
    <t>Doxford SR3 3XL</t>
  </si>
  <si>
    <t>4 Leopold House</t>
  </si>
  <si>
    <t>Albert Court</t>
  </si>
  <si>
    <t>Sunderland</t>
  </si>
  <si>
    <t>SR2 7LJ</t>
  </si>
  <si>
    <t>Miss Awa Makalo</t>
  </si>
  <si>
    <t>Gambian</t>
  </si>
  <si>
    <t>Jeffrey Schollhammer</t>
  </si>
  <si>
    <t>Scheduler</t>
  </si>
  <si>
    <t>18 Ridgebrook Road</t>
  </si>
  <si>
    <t>SE3 9QN</t>
  </si>
  <si>
    <t>Mr Chongo Shula</t>
  </si>
  <si>
    <t>Zambian</t>
  </si>
  <si>
    <t>Simon Howells</t>
  </si>
  <si>
    <t>Smart Metering Install</t>
  </si>
  <si>
    <t>Planning &amp; Purchasing Executive</t>
  </si>
  <si>
    <t>10 Monarch Way</t>
  </si>
  <si>
    <t>BN43 6DL</t>
  </si>
  <si>
    <t>UK2763786</t>
  </si>
  <si>
    <t>Mrs Seda Fidanboy Veziroglu</t>
  </si>
  <si>
    <t>Turkish</t>
  </si>
  <si>
    <t>Martin Aylward</t>
  </si>
  <si>
    <t>Smart Metering</t>
  </si>
  <si>
    <t>Senior Manager of Strategy</t>
  </si>
  <si>
    <t>Atlantic Hs RH10 1QQ</t>
  </si>
  <si>
    <t>10 Wyeths Mews</t>
  </si>
  <si>
    <t>Epsom</t>
  </si>
  <si>
    <t>KT17 4ED</t>
  </si>
  <si>
    <t>Mrs Lynn Foster</t>
  </si>
  <si>
    <t>Laurence Dumbleton</t>
  </si>
  <si>
    <t>Back Office and Asset Management</t>
  </si>
  <si>
    <t>41Hadley Avenue</t>
  </si>
  <si>
    <t>BN14 9HB</t>
  </si>
  <si>
    <t>01903 218899</t>
  </si>
  <si>
    <t>F1120544</t>
  </si>
  <si>
    <t>Miss Jay Tang</t>
  </si>
  <si>
    <t>Chinese</t>
  </si>
  <si>
    <t>Sara Blair</t>
  </si>
  <si>
    <t>Advisor</t>
  </si>
  <si>
    <t>6 Sunninghill Avenue</t>
  </si>
  <si>
    <t>Hove</t>
  </si>
  <si>
    <t>BN3 8JA</t>
  </si>
  <si>
    <t>Mr Tando Mpofu</t>
  </si>
  <si>
    <t>Brian Standen</t>
  </si>
  <si>
    <t>Field Technician (OOA)</t>
  </si>
  <si>
    <t>64 St Wilfrids Crescent</t>
  </si>
  <si>
    <t>Leeds</t>
  </si>
  <si>
    <t>LS8 3PW</t>
  </si>
  <si>
    <t>UK2462179</t>
  </si>
  <si>
    <t>Mr Andy Crick</t>
  </si>
  <si>
    <t>Barbadan</t>
  </si>
  <si>
    <t>5B Devonport Road</t>
  </si>
  <si>
    <t>W12 8NZ</t>
  </si>
  <si>
    <t>NO REF</t>
  </si>
  <si>
    <t>Miss Jessica Lapsley</t>
  </si>
  <si>
    <t>American</t>
  </si>
  <si>
    <t>Sam Foster</t>
  </si>
  <si>
    <t>25 Sussex Terrace</t>
  </si>
  <si>
    <t>John Street</t>
  </si>
  <si>
    <t>Brighton</t>
  </si>
  <si>
    <t>BN2 9QJ</t>
  </si>
  <si>
    <t>0369363A</t>
  </si>
  <si>
    <t>Mrs Juanita Herwood-Grose</t>
  </si>
  <si>
    <t>Lee Brown</t>
  </si>
  <si>
    <t>16 St Georges View</t>
  </si>
  <si>
    <t>Cullompton</t>
  </si>
  <si>
    <t>EX15 1BA</t>
  </si>
  <si>
    <t>01884 821407</t>
  </si>
  <si>
    <t>RC9640241</t>
  </si>
  <si>
    <t>Mrs Natalie Gantman</t>
  </si>
  <si>
    <t>Israeli</t>
  </si>
  <si>
    <t>James Weeks</t>
  </si>
  <si>
    <t>Business Partnering</t>
  </si>
  <si>
    <t>Senior BP Investment Governance</t>
  </si>
  <si>
    <t>18 Tavistock Avenue</t>
  </si>
  <si>
    <t>NW7 1GA</t>
  </si>
  <si>
    <t>Mrs Pavlina Dalley</t>
  </si>
  <si>
    <t>Czech</t>
  </si>
  <si>
    <t>Yawmiya Tania Rameswaran</t>
  </si>
  <si>
    <t>Digital, Data and Process Excellence</t>
  </si>
  <si>
    <t>Operational Excellence Snr Practitioner</t>
  </si>
  <si>
    <t>52 Bramble Rise</t>
  </si>
  <si>
    <t>BN1 5GF</t>
  </si>
  <si>
    <t>Miss Livita Burbulyte</t>
  </si>
  <si>
    <t>Lithuanian</t>
  </si>
  <si>
    <t>Colin Fisher</t>
  </si>
  <si>
    <t>10 Redland Way</t>
  </si>
  <si>
    <t>EX15 1GJ</t>
  </si>
  <si>
    <t>Mr Mohamed Ajami</t>
  </si>
  <si>
    <t>2 Park Terrace</t>
  </si>
  <si>
    <t>Ferguson Avenue</t>
  </si>
  <si>
    <t>Gravesend</t>
  </si>
  <si>
    <t>DA12 5FF</t>
  </si>
  <si>
    <t>Mrs Ellen Almeida</t>
  </si>
  <si>
    <t>Taiwanese</t>
  </si>
  <si>
    <t>Sara Roppert</t>
  </si>
  <si>
    <t>4 Sandoe Way</t>
  </si>
  <si>
    <t>EX1 3WJ</t>
  </si>
  <si>
    <t>UK3675332</t>
  </si>
  <si>
    <t>Mr Prince Murefu</t>
  </si>
  <si>
    <t>Zimbabwean</t>
  </si>
  <si>
    <t>Doug Turner</t>
  </si>
  <si>
    <t>Business Services</t>
  </si>
  <si>
    <t>Operational Training &amp; Development Spec</t>
  </si>
  <si>
    <t>29 Kedleston Close</t>
  </si>
  <si>
    <t>Tunstall Grange</t>
  </si>
  <si>
    <t>SR2 0DD</t>
  </si>
  <si>
    <t>RE0607754</t>
  </si>
  <si>
    <t>Mrs Cherry Denny</t>
  </si>
  <si>
    <t>Connor Philp</t>
  </si>
  <si>
    <t>2 Wiltshire House</t>
  </si>
  <si>
    <t>Lavender Street</t>
  </si>
  <si>
    <t>BN2 1LE</t>
  </si>
  <si>
    <t>UK4132798</t>
  </si>
  <si>
    <t>Miss Rudo Maingehama</t>
  </si>
  <si>
    <t>38 Orchard Close</t>
  </si>
  <si>
    <t>RH15 0GF</t>
  </si>
  <si>
    <t>Leave Outside the Rules Visa</t>
  </si>
  <si>
    <t>RU9407120</t>
  </si>
  <si>
    <t>T1: Tier  1 General Extension</t>
  </si>
  <si>
    <t>RE4683794</t>
  </si>
  <si>
    <t>Mr Adil Ahmed</t>
  </si>
  <si>
    <t>Bangladeshi</t>
  </si>
  <si>
    <t>Dean Noble</t>
  </si>
  <si>
    <t>Warrant Officer</t>
  </si>
  <si>
    <t>Remote Worker</t>
  </si>
  <si>
    <t>35 Brewood Road</t>
  </si>
  <si>
    <t>Dagenham</t>
  </si>
  <si>
    <t>RM8 2BL</t>
  </si>
  <si>
    <t>Ms Olawumi Olaniran</t>
  </si>
  <si>
    <t>Alison Legg</t>
  </si>
  <si>
    <t>Smart Allocator</t>
  </si>
  <si>
    <t>11 Coniston Close</t>
  </si>
  <si>
    <t>Darford</t>
  </si>
  <si>
    <t>DA1 2TY</t>
  </si>
  <si>
    <t>RD8344410</t>
  </si>
  <si>
    <t>Dr Juan Uribe</t>
  </si>
  <si>
    <t>Philippe Martinuzzi</t>
  </si>
  <si>
    <t>Strategy &amp; Corporate Affairs</t>
  </si>
  <si>
    <t>Research &amp; Development</t>
  </si>
  <si>
    <t>R&amp;D Nuclear</t>
  </si>
  <si>
    <t>Thermal-Hydraulics Modelling Research Ex</t>
  </si>
  <si>
    <t>Manchester Uni</t>
  </si>
  <si>
    <t>Apartment 89</t>
  </si>
  <si>
    <t>2 Advent Way</t>
  </si>
  <si>
    <t>Manchester</t>
  </si>
  <si>
    <t>M4 7LL</t>
  </si>
  <si>
    <t>RD1403701</t>
  </si>
  <si>
    <t>Mrs Funmilayo Opuzi</t>
  </si>
  <si>
    <t>Bobby Ingram</t>
  </si>
  <si>
    <t>Field Optimisation Coordinator</t>
  </si>
  <si>
    <t>12 Hughes Road</t>
  </si>
  <si>
    <t>Ilford</t>
  </si>
  <si>
    <t>IG6 2FP</t>
  </si>
  <si>
    <t>RDX166917</t>
  </si>
  <si>
    <t>Mr Eric Cobbinah</t>
  </si>
  <si>
    <t>Ghanaian</t>
  </si>
  <si>
    <t>Sean O'Beirne</t>
  </si>
  <si>
    <t>14 Harris Road</t>
  </si>
  <si>
    <t>Bexleyheath</t>
  </si>
  <si>
    <t>DA7 4QD</t>
  </si>
  <si>
    <t>Mrs Alina Carse</t>
  </si>
  <si>
    <t>Romanian</t>
  </si>
  <si>
    <t>Andrew Wise</t>
  </si>
  <si>
    <t>Hinkley Point C</t>
  </si>
  <si>
    <t>Finance-Investments</t>
  </si>
  <si>
    <t>Investment and Investors</t>
  </si>
  <si>
    <t>Investment Manager</t>
  </si>
  <si>
    <t>336 Norton Way South</t>
  </si>
  <si>
    <t>Letchworth</t>
  </si>
  <si>
    <t>SG6 1TA</t>
  </si>
  <si>
    <t>Ms Gail Harwood</t>
  </si>
  <si>
    <t>Rob Cook</t>
  </si>
  <si>
    <t>Pre Operations</t>
  </si>
  <si>
    <t>Pre-Operations Programmes</t>
  </si>
  <si>
    <t>Nuclear Training Specialist</t>
  </si>
  <si>
    <t>Barnwood</t>
  </si>
  <si>
    <t>38B Montpellier Spa Road</t>
  </si>
  <si>
    <t>Cheltenham</t>
  </si>
  <si>
    <t>GL50 1UL</t>
  </si>
  <si>
    <t>01242 263585</t>
  </si>
  <si>
    <t>UK3999267</t>
  </si>
  <si>
    <t>Miss Tamara Primo</t>
  </si>
  <si>
    <t>Sharon Metcalf</t>
  </si>
  <si>
    <t>BSU Adviser</t>
  </si>
  <si>
    <t>5 Herons Court</t>
  </si>
  <si>
    <t>Durham</t>
  </si>
  <si>
    <t>DH1 2HD</t>
  </si>
  <si>
    <t>RG0509509</t>
  </si>
  <si>
    <t>Mr Femi Adesanya</t>
  </si>
  <si>
    <t>Heloise Hugot</t>
  </si>
  <si>
    <t>Nuclear Development</t>
  </si>
  <si>
    <t>SZC Engineering Programme</t>
  </si>
  <si>
    <t>RD Contract</t>
  </si>
  <si>
    <t>Nuclear Island Equipment Lead</t>
  </si>
  <si>
    <t>122 Sewell Close</t>
  </si>
  <si>
    <t>Chafford Hundred</t>
  </si>
  <si>
    <t>RM16 6BU</t>
  </si>
  <si>
    <t>Mr Shola Ojediran</t>
  </si>
  <si>
    <t>Ke-Shen Cheong</t>
  </si>
  <si>
    <t>Engineering</t>
  </si>
  <si>
    <t>Manufacturing Inspection</t>
  </si>
  <si>
    <t>Acting Team Leader</t>
  </si>
  <si>
    <t>Bridgewater House</t>
  </si>
  <si>
    <t>RF8051001</t>
  </si>
  <si>
    <t>Mr Titot Prayoga</t>
  </si>
  <si>
    <t>Andrew Goodfellow</t>
  </si>
  <si>
    <t>Technical</t>
  </si>
  <si>
    <t>Design Authority</t>
  </si>
  <si>
    <t>Materials &amp; Welding Engineer</t>
  </si>
  <si>
    <t>2 Highbrook Way</t>
  </si>
  <si>
    <t>Lydney</t>
  </si>
  <si>
    <t>GL15 4BY</t>
  </si>
  <si>
    <t>Mr Steve Anyster</t>
  </si>
  <si>
    <t xml:space="preserve"> </t>
  </si>
  <si>
    <t>Safety, Security &amp; Assurance</t>
  </si>
  <si>
    <t>Assurance</t>
  </si>
  <si>
    <t>IACO Manager</t>
  </si>
  <si>
    <t>7 Kings Hollow Road</t>
  </si>
  <si>
    <t>Charlton Kings</t>
  </si>
  <si>
    <t>GL53 8BU</t>
  </si>
  <si>
    <t>RE2324904</t>
  </si>
  <si>
    <t>Mrs Enoka Dias</t>
  </si>
  <si>
    <t>Sri Lankan</t>
  </si>
  <si>
    <t>Lucy Tuke</t>
  </si>
  <si>
    <t>163 Graham Avenue</t>
  </si>
  <si>
    <t>Portslade</t>
  </si>
  <si>
    <t>BN41 2WN</t>
  </si>
  <si>
    <t>RE4296520</t>
  </si>
  <si>
    <t>Mrs Christy Lewis</t>
  </si>
  <si>
    <t>Sarah Burman</t>
  </si>
  <si>
    <t>Plymouth Pl3 5TU</t>
  </si>
  <si>
    <t>8 Challock Close</t>
  </si>
  <si>
    <t>Plymouth</t>
  </si>
  <si>
    <t>PL6 8SX</t>
  </si>
  <si>
    <t>01752 518771</t>
  </si>
  <si>
    <t>RC3245942</t>
  </si>
  <si>
    <t>Mr Anand Dabas</t>
  </si>
  <si>
    <t>Will Stevens</t>
  </si>
  <si>
    <t>14 Eaton Gardens</t>
  </si>
  <si>
    <t>BN3 3TP</t>
  </si>
  <si>
    <t>RG6148622</t>
  </si>
  <si>
    <t>Mr Peter Emerson</t>
  </si>
  <si>
    <t>Australian</t>
  </si>
  <si>
    <t>Gary Wareham</t>
  </si>
  <si>
    <t>Residential &amp; SME</t>
  </si>
  <si>
    <t>Telesales Agent</t>
  </si>
  <si>
    <t>37 West Way</t>
  </si>
  <si>
    <t>BN13 3AX</t>
  </si>
  <si>
    <t>UK3834790</t>
  </si>
  <si>
    <t>Mrs Radiat Giwa</t>
  </si>
  <si>
    <t>Claire Ali</t>
  </si>
  <si>
    <t>Process Analyst Deployment Optimisation</t>
  </si>
  <si>
    <t>200 Mcleod Road</t>
  </si>
  <si>
    <t>Abbey Wood</t>
  </si>
  <si>
    <t>SE2 0BT</t>
  </si>
  <si>
    <t>0208 111 092</t>
  </si>
  <si>
    <t>Mr Greg Buckle</t>
  </si>
  <si>
    <t>Kirsty Juggins</t>
  </si>
  <si>
    <t>Nuclear Operations</t>
  </si>
  <si>
    <t>CTO Engineering</t>
  </si>
  <si>
    <t>Programme Office Group Head</t>
  </si>
  <si>
    <t>Yew Tree House</t>
  </si>
  <si>
    <t>The Derry</t>
  </si>
  <si>
    <t>Ashton Keynes</t>
  </si>
  <si>
    <t>SN6 6PW</t>
  </si>
  <si>
    <t>UK2396931</t>
  </si>
  <si>
    <t>Ms Kajal Pipaliya</t>
  </si>
  <si>
    <t>Catherine Back</t>
  </si>
  <si>
    <t>Edvance</t>
  </si>
  <si>
    <t>Technical Coordinator</t>
  </si>
  <si>
    <t>Aztec West</t>
  </si>
  <si>
    <t>21 Trecastle Road</t>
  </si>
  <si>
    <t>Swindon</t>
  </si>
  <si>
    <t>SN1 7BU</t>
  </si>
  <si>
    <t>Miss Divya Bhatnagar</t>
  </si>
  <si>
    <t>Anthony MacDonald</t>
  </si>
  <si>
    <t>EDF ER</t>
  </si>
  <si>
    <t>Strategy and Analysis</t>
  </si>
  <si>
    <t>Strategy and Analysis Team 3</t>
  </si>
  <si>
    <t>Senior Analyst</t>
  </si>
  <si>
    <t>Cardinal P SW1E 5JL</t>
  </si>
  <si>
    <t>27 Charter Gate</t>
  </si>
  <si>
    <t>Boltro Road</t>
  </si>
  <si>
    <t>Haywards Heath</t>
  </si>
  <si>
    <t>RH16 1BQ</t>
  </si>
  <si>
    <t>RG2431977</t>
  </si>
  <si>
    <t>Mr Stuart Holmes</t>
  </si>
  <si>
    <t>Paul Cooke</t>
  </si>
  <si>
    <t>Senior Business Analyst</t>
  </si>
  <si>
    <t>4 The Oval</t>
  </si>
  <si>
    <t>Banstead</t>
  </si>
  <si>
    <t>SM7 2QY</t>
  </si>
  <si>
    <t>Mrs Favour Fadoju</t>
  </si>
  <si>
    <t>Data Administrator 2</t>
  </si>
  <si>
    <t>6 Cumberland Place</t>
  </si>
  <si>
    <t>Catford</t>
  </si>
  <si>
    <t>SE6 1LA</t>
  </si>
  <si>
    <t>Mr Leonard O'Riordan</t>
  </si>
  <si>
    <t>Andy Hope</t>
  </si>
  <si>
    <t>S&amp;A Safety &amp; Assurance</t>
  </si>
  <si>
    <t>Nuclear Skills Alliance</t>
  </si>
  <si>
    <t>Training Systems Analyst</t>
  </si>
  <si>
    <t>Cannington Court</t>
  </si>
  <si>
    <t>27 Anglesea House</t>
  </si>
  <si>
    <t>Anglesea Road</t>
  </si>
  <si>
    <t>Kingston Upon Thames</t>
  </si>
  <si>
    <t>KT1 2ET</t>
  </si>
  <si>
    <t>RG177564</t>
  </si>
  <si>
    <t>Ms Meera Karan</t>
  </si>
  <si>
    <t>Joe Souto</t>
  </si>
  <si>
    <t>Governance &amp; Legal Affairs</t>
  </si>
  <si>
    <t>Customers &amp; Secretariat</t>
  </si>
  <si>
    <t>Company Secretary Corporate &amp; Governance</t>
  </si>
  <si>
    <t>HoF Legal &amp; Co Sec, Corp &amp; Governance</t>
  </si>
  <si>
    <t>54 Vera Road</t>
  </si>
  <si>
    <t>SW6 6QW</t>
  </si>
  <si>
    <t>RE7991577</t>
  </si>
  <si>
    <t>Family of Settled Person Visa</t>
  </si>
  <si>
    <t>RD4425180</t>
  </si>
  <si>
    <t>Mr Chisoni Nyoni</t>
  </si>
  <si>
    <t>Paul Davis</t>
  </si>
  <si>
    <t>Operational Team Manager</t>
  </si>
  <si>
    <t>32 Nelson Street</t>
  </si>
  <si>
    <t>Seaham</t>
  </si>
  <si>
    <t>SR7 0DG</t>
  </si>
  <si>
    <t>RE0310651</t>
  </si>
  <si>
    <t>Mr Moin Ahmed</t>
  </si>
  <si>
    <t>Pakistani</t>
  </si>
  <si>
    <t>Ann Boyd</t>
  </si>
  <si>
    <t>Electrical Design Engineer</t>
  </si>
  <si>
    <t>East Kilbride</t>
  </si>
  <si>
    <t>Flat 2/1</t>
  </si>
  <si>
    <t>41 Coplaw Street</t>
  </si>
  <si>
    <t>Glasgow</t>
  </si>
  <si>
    <t>G42 7JE</t>
  </si>
  <si>
    <t>Mr Zahid Islam</t>
  </si>
  <si>
    <t>David Robinson</t>
  </si>
  <si>
    <t>Senior Data Analyst</t>
  </si>
  <si>
    <t>33 Westbourne Road</t>
  </si>
  <si>
    <t>SR1 3SQ</t>
  </si>
  <si>
    <t>Mr Ivan Prozesky</t>
  </si>
  <si>
    <t>Joseph Roberts</t>
  </si>
  <si>
    <t>Nuclear Operations Region 1</t>
  </si>
  <si>
    <t>Environmental Safety Engineer</t>
  </si>
  <si>
    <t>Hinkley Point B</t>
  </si>
  <si>
    <t>Knapp Farm</t>
  </si>
  <si>
    <t>Hornhill Cannington</t>
  </si>
  <si>
    <t>Bridgwater</t>
  </si>
  <si>
    <t>TA5 2QE</t>
  </si>
  <si>
    <t>Mr Eder Da Silva</t>
  </si>
  <si>
    <t>Brazilian</t>
  </si>
  <si>
    <t>Mark Slaughter</t>
  </si>
  <si>
    <t>Innovation</t>
  </si>
  <si>
    <t>Data Governance</t>
  </si>
  <si>
    <t>Data Lead</t>
  </si>
  <si>
    <t>37 Sand Grove</t>
  </si>
  <si>
    <t>EX2 7SF</t>
  </si>
  <si>
    <t>UK3398804</t>
  </si>
  <si>
    <t>Ms Nisha Gireesh</t>
  </si>
  <si>
    <t>Kara Warden</t>
  </si>
  <si>
    <t>HR</t>
  </si>
  <si>
    <t>CSF HR</t>
  </si>
  <si>
    <t>Employee Services</t>
  </si>
  <si>
    <t>AskHR Advisor</t>
  </si>
  <si>
    <t>230 St Leonards Road</t>
  </si>
  <si>
    <t>Horsham</t>
  </si>
  <si>
    <t>RH13 6AU</t>
  </si>
  <si>
    <t>RC1344166</t>
  </si>
  <si>
    <t>Mr Simon Cheuk</t>
  </si>
  <si>
    <t>Veronique Phillips</t>
  </si>
  <si>
    <t>Safety Case Engineer</t>
  </si>
  <si>
    <t>2A Glencairn Avenue</t>
  </si>
  <si>
    <t>Tuffley</t>
  </si>
  <si>
    <t>Gloucester</t>
  </si>
  <si>
    <t>GL4 0SQ</t>
  </si>
  <si>
    <t>Mr Abdul Basit Zafar</t>
  </si>
  <si>
    <t>Graeme Smillie</t>
  </si>
  <si>
    <t>Nuclear Operations Region 2</t>
  </si>
  <si>
    <t>Systems Engineer</t>
  </si>
  <si>
    <t>Torness</t>
  </si>
  <si>
    <t>2/8 North Hillhouse Field</t>
  </si>
  <si>
    <t>Granton</t>
  </si>
  <si>
    <t>Edinburgh</t>
  </si>
  <si>
    <t>eh64hu</t>
  </si>
  <si>
    <t>RH2040040</t>
  </si>
  <si>
    <t>C2G1L25811S</t>
  </si>
  <si>
    <t>T2: Tier  2 General Extension</t>
  </si>
  <si>
    <t>RG3184384</t>
  </si>
  <si>
    <t>Mr Eusebius Omeife</t>
  </si>
  <si>
    <t>Connaire Brown</t>
  </si>
  <si>
    <t>System Engineer</t>
  </si>
  <si>
    <t>Heysham 2</t>
  </si>
  <si>
    <t>47 EDWARDS STREET</t>
  </si>
  <si>
    <t>MORECAMBE</t>
  </si>
  <si>
    <t>LA4 4BL</t>
  </si>
  <si>
    <t>C2G6R35444M</t>
  </si>
  <si>
    <t>Miss Priyanka Rajasekaran</t>
  </si>
  <si>
    <t>Malaysian</t>
  </si>
  <si>
    <t>Mike Scott</t>
  </si>
  <si>
    <t>Heysham 1</t>
  </si>
  <si>
    <t>38 Rosebery Avenue</t>
  </si>
  <si>
    <t>Lancaster</t>
  </si>
  <si>
    <t>LA1 4DJ</t>
  </si>
  <si>
    <t>RH1958475</t>
  </si>
  <si>
    <t>Mr Onomine Okoro</t>
  </si>
  <si>
    <t>James Beach</t>
  </si>
  <si>
    <t>Operations Development Engineer (Elec)</t>
  </si>
  <si>
    <t>9 Jewel Close</t>
  </si>
  <si>
    <t>TA6 4GX</t>
  </si>
  <si>
    <t>RJ8178842</t>
  </si>
  <si>
    <t>C2G0N75819T</t>
  </si>
  <si>
    <t>RG8206471</t>
  </si>
  <si>
    <t>Mr Jobin Joy</t>
  </si>
  <si>
    <t>David Smith</t>
  </si>
  <si>
    <t>FIN NG Finance</t>
  </si>
  <si>
    <t>Management Accountant (CGR)</t>
  </si>
  <si>
    <t>West Burton A</t>
  </si>
  <si>
    <t>22 Main Street</t>
  </si>
  <si>
    <t>Althorpe</t>
  </si>
  <si>
    <t>DN17 3HH</t>
  </si>
  <si>
    <t>UK2420807</t>
  </si>
  <si>
    <t>Mr Brone Dube</t>
  </si>
  <si>
    <t>Kev Mills</t>
  </si>
  <si>
    <t>1 Halses Close</t>
  </si>
  <si>
    <t>Exwick</t>
  </si>
  <si>
    <t>EX4 2NX</t>
  </si>
  <si>
    <t>01392 980927</t>
  </si>
  <si>
    <t>RJ8333977</t>
  </si>
  <si>
    <t>Ancestry Visa</t>
  </si>
  <si>
    <t>RC2965699</t>
  </si>
  <si>
    <t>Mr Sab Bhaskaran</t>
  </si>
  <si>
    <t>Steven Heard</t>
  </si>
  <si>
    <t>Delivery</t>
  </si>
  <si>
    <t>HPC Site Construction</t>
  </si>
  <si>
    <t>Quality Assurance Lead</t>
  </si>
  <si>
    <t>9 Apple Tree Close</t>
  </si>
  <si>
    <t>Norton Fitzwarren</t>
  </si>
  <si>
    <t>Taunton</t>
  </si>
  <si>
    <t>TA2 6FE</t>
  </si>
  <si>
    <t>RH9690126</t>
  </si>
  <si>
    <t>Mr Eric Akinkunmi</t>
  </si>
  <si>
    <t>Civil Engineer</t>
  </si>
  <si>
    <t>40 Lilliana Way</t>
  </si>
  <si>
    <t>TA5 2GH</t>
  </si>
  <si>
    <t>Mr Ian Welch-Phillips</t>
  </si>
  <si>
    <t>Trinidadian or Tobagonian</t>
  </si>
  <si>
    <t>Fergus McAllister</t>
  </si>
  <si>
    <t>Wholesale Markets Optimisation</t>
  </si>
  <si>
    <t>Energy Trading Services</t>
  </si>
  <si>
    <t>Trading Services Senior Analyst</t>
  </si>
  <si>
    <t>150 City Tower</t>
  </si>
  <si>
    <t>3 Limeharbour</t>
  </si>
  <si>
    <t>E14 9LU</t>
  </si>
  <si>
    <t>RJ4436653</t>
  </si>
  <si>
    <t>C2G4G85714D</t>
  </si>
  <si>
    <t>RF5038077</t>
  </si>
  <si>
    <t>Mrs Ling Pyle</t>
  </si>
  <si>
    <t>Ashleigh Richardson</t>
  </si>
  <si>
    <t>11 Lyndhurst Avenue</t>
  </si>
  <si>
    <t>Chester-Le-Street</t>
  </si>
  <si>
    <t>DH3 4AR</t>
  </si>
  <si>
    <t>Miss Roshni Mukhopadhyay</t>
  </si>
  <si>
    <t>Dawn Fortune</t>
  </si>
  <si>
    <t>Customers Finance</t>
  </si>
  <si>
    <t>Cost</t>
  </si>
  <si>
    <t>Head of Cost</t>
  </si>
  <si>
    <t>80 Haydon Park Road</t>
  </si>
  <si>
    <t>Wimbledon</t>
  </si>
  <si>
    <t>SW19 8JT</t>
  </si>
  <si>
    <t>RCX080435</t>
  </si>
  <si>
    <t>Mr David Alliu</t>
  </si>
  <si>
    <t>Albanian</t>
  </si>
  <si>
    <t>Colin Hughes</t>
  </si>
  <si>
    <t>Flat 3/3</t>
  </si>
  <si>
    <t>19 Laurel Place</t>
  </si>
  <si>
    <t>G11 7RF</t>
  </si>
  <si>
    <t>RH8764252</t>
  </si>
  <si>
    <t>C2G8Q75709C</t>
  </si>
  <si>
    <t>RG4115797</t>
  </si>
  <si>
    <t>Miss Ee-Jane Low</t>
  </si>
  <si>
    <t>Michael Irwin</t>
  </si>
  <si>
    <t>Fuel Route Systems Engineer</t>
  </si>
  <si>
    <t>5 North East Terrace</t>
  </si>
  <si>
    <t>Tewkesbury</t>
  </si>
  <si>
    <t>GL20 5NT</t>
  </si>
  <si>
    <t>RJ9091014</t>
  </si>
  <si>
    <t>C2G4X35702B</t>
  </si>
  <si>
    <t>Miss Xiaxin Wu</t>
  </si>
  <si>
    <t>David Adams</t>
  </si>
  <si>
    <t>Fuel Route Systems C&amp;I Engineer</t>
  </si>
  <si>
    <t>Flat 25 57 Friars Orchard</t>
  </si>
  <si>
    <t>GL1 1GE</t>
  </si>
  <si>
    <t>RJX077914</t>
  </si>
  <si>
    <t>C2G2F25738H</t>
  </si>
  <si>
    <t>RF1067407</t>
  </si>
  <si>
    <t>Mr Ebere Uzomah</t>
  </si>
  <si>
    <t>Electrical Engineer</t>
  </si>
  <si>
    <t>424 Allison Street</t>
  </si>
  <si>
    <t>Flat 1/1</t>
  </si>
  <si>
    <t>Govanhill</t>
  </si>
  <si>
    <t>G42 8HS</t>
  </si>
  <si>
    <t>RJ1070619</t>
  </si>
  <si>
    <t>C2G2L65847W</t>
  </si>
  <si>
    <t>RG0250847</t>
  </si>
  <si>
    <t>Mrs Aya Shin</t>
  </si>
  <si>
    <t>Japanese</t>
  </si>
  <si>
    <t>Christian Eley</t>
  </si>
  <si>
    <t>CO2 Oxidation Technologist</t>
  </si>
  <si>
    <t>Flat 9 The Crescent</t>
  </si>
  <si>
    <t>Gloucester Road</t>
  </si>
  <si>
    <t>GL51 8PF</t>
  </si>
  <si>
    <t>01242 226185</t>
  </si>
  <si>
    <t>C2G3M96254H</t>
  </si>
  <si>
    <t>T2: Tier 2 General</t>
  </si>
  <si>
    <t>RH9104542</t>
  </si>
  <si>
    <t>T2: Tier 2 Spouse</t>
  </si>
  <si>
    <t>Mr Perry Jones</t>
  </si>
  <si>
    <t>John Farquhar</t>
  </si>
  <si>
    <t>Independent Nuclear Assurance</t>
  </si>
  <si>
    <t>Independant Nuclear Assurance Auditor</t>
  </si>
  <si>
    <t>35 Glamis Hill</t>
  </si>
  <si>
    <t>Berwick upon Tweed</t>
  </si>
  <si>
    <t>TD15 INX</t>
  </si>
  <si>
    <t>T1: Tier 1 Spouse</t>
  </si>
  <si>
    <t>RG6440897</t>
  </si>
  <si>
    <t>Mr Farai Kusotera</t>
  </si>
  <si>
    <t>Andrew Rowley</t>
  </si>
  <si>
    <t>Portfolio Operations</t>
  </si>
  <si>
    <t>Portfolio Analytics &amp; Trading Analyst</t>
  </si>
  <si>
    <t>35 Howard Street</t>
  </si>
  <si>
    <t>BN11 4EN</t>
  </si>
  <si>
    <t>01903 419744</t>
  </si>
  <si>
    <t>RG3213779</t>
  </si>
  <si>
    <t>Mr Junior Babatunde</t>
  </si>
  <si>
    <t>Haylee Pannell</t>
  </si>
  <si>
    <t>Customer Service Advisor Level 2</t>
  </si>
  <si>
    <t>2 Kipling Drive</t>
  </si>
  <si>
    <t>EX2 5BU</t>
  </si>
  <si>
    <t>RJ6307208</t>
  </si>
  <si>
    <t>RE5570814</t>
  </si>
  <si>
    <t>Mr Juan Baena Rojas</t>
  </si>
  <si>
    <t>Colombian</t>
  </si>
  <si>
    <t>Adrian John</t>
  </si>
  <si>
    <t>DARC</t>
  </si>
  <si>
    <t>Senior Insights Analyst</t>
  </si>
  <si>
    <t>35 Crescent Road</t>
  </si>
  <si>
    <t>BN2 3RP</t>
  </si>
  <si>
    <t>Mr Hassan Moazzam</t>
  </si>
  <si>
    <t>Kathie Finch</t>
  </si>
  <si>
    <t>I&amp;C Sales</t>
  </si>
  <si>
    <t>Pricing Gas Lead</t>
  </si>
  <si>
    <t>Flat 44 Green Dragon House</t>
  </si>
  <si>
    <t>64-70 High Street</t>
  </si>
  <si>
    <t>Croydon</t>
  </si>
  <si>
    <t>CR0 1FS</t>
  </si>
  <si>
    <t>RJ1042708</t>
  </si>
  <si>
    <t>C2G8A05749I</t>
  </si>
  <si>
    <t>RF1008084</t>
  </si>
  <si>
    <t>Dr Jianfei Wei</t>
  </si>
  <si>
    <t>Rhonwen James</t>
  </si>
  <si>
    <t>Fuel Engineer</t>
  </si>
  <si>
    <t>18 Abbots Road</t>
  </si>
  <si>
    <t>Abbeymead</t>
  </si>
  <si>
    <t>GL4 5GF</t>
  </si>
  <si>
    <t>RE4940034</t>
  </si>
  <si>
    <t>Mr Emmanuel Asante-Akufo</t>
  </si>
  <si>
    <t>Gillian Geehan</t>
  </si>
  <si>
    <t>146 Chester Road</t>
  </si>
  <si>
    <t>SR4 7EY</t>
  </si>
  <si>
    <t>RH0107706</t>
  </si>
  <si>
    <t>RE2167878</t>
  </si>
  <si>
    <t>Mr Judson Manning</t>
  </si>
  <si>
    <t>Phil Dale</t>
  </si>
  <si>
    <t>129 Chestnut Avenue</t>
  </si>
  <si>
    <t>EX2 6DN</t>
  </si>
  <si>
    <t>Mr Shiu Hui</t>
  </si>
  <si>
    <t>Canadian</t>
  </si>
  <si>
    <t>Mark Lawson</t>
  </si>
  <si>
    <t>Operations</t>
  </si>
  <si>
    <t>Design Manager</t>
  </si>
  <si>
    <t>33 Clarendon Road</t>
  </si>
  <si>
    <t>N15 3JX</t>
  </si>
  <si>
    <t>Residence Card for a family member of an EEA citizen</t>
  </si>
  <si>
    <t>RE8361978</t>
  </si>
  <si>
    <t>Mr Leo Peng</t>
  </si>
  <si>
    <t>David Powis</t>
  </si>
  <si>
    <t>Energy Market &amp; Credit Risk</t>
  </si>
  <si>
    <t>Flat 44</t>
  </si>
  <si>
    <t>216 Kennington Road</t>
  </si>
  <si>
    <t>SE11 6HR</t>
  </si>
  <si>
    <t>RJ3343286</t>
  </si>
  <si>
    <t>C2G7D46070G</t>
  </si>
  <si>
    <t>C2G8I74905E</t>
  </si>
  <si>
    <t>RD6072015</t>
  </si>
  <si>
    <t>Mr Matthew Toothman</t>
  </si>
  <si>
    <t>Blair Guthrie</t>
  </si>
  <si>
    <t>CTO Turbine Management Group</t>
  </si>
  <si>
    <t>CTO Rotating Plant Mechanical Engineer</t>
  </si>
  <si>
    <t>33 Plover House</t>
  </si>
  <si>
    <t>Mears  Beck Close</t>
  </si>
  <si>
    <t>Morecambe</t>
  </si>
  <si>
    <t>LA3 1FL</t>
  </si>
  <si>
    <t>C2G6U96044C</t>
  </si>
  <si>
    <t>RG3706853</t>
  </si>
  <si>
    <t>C2G0H04989U</t>
  </si>
  <si>
    <t>RD7178695</t>
  </si>
  <si>
    <t>Mr Joe Sarpong</t>
  </si>
  <si>
    <t>Robin Melvin</t>
  </si>
  <si>
    <t>Energy Services and New Business</t>
  </si>
  <si>
    <t>Proposition Executive</t>
  </si>
  <si>
    <t>5 Rochester Close</t>
  </si>
  <si>
    <t>BN13 3RP</t>
  </si>
  <si>
    <t>RH8390686</t>
  </si>
  <si>
    <t>T1: Tier 1 General</t>
  </si>
  <si>
    <t>RE0372697</t>
  </si>
  <si>
    <t>Mrs Jenn Tibbenham</t>
  </si>
  <si>
    <t>Michael Cannon</t>
  </si>
  <si>
    <t>Training Technician</t>
  </si>
  <si>
    <t>Dungeness B</t>
  </si>
  <si>
    <t>14 Baldwin Road</t>
  </si>
  <si>
    <t>Greatstone</t>
  </si>
  <si>
    <t>Romney Marsh</t>
  </si>
  <si>
    <t>TN28 8PA</t>
  </si>
  <si>
    <t>RC4356999</t>
  </si>
  <si>
    <t>Mr Ryan Volk</t>
  </si>
  <si>
    <t>Claire Coombes</t>
  </si>
  <si>
    <t>MEH Engineering</t>
  </si>
  <si>
    <t>Topography Engineer</t>
  </si>
  <si>
    <t>37 Cobham Parade</t>
  </si>
  <si>
    <t>Weston Super Mare</t>
  </si>
  <si>
    <t>BS24 8EG</t>
  </si>
  <si>
    <t>Mrs Rashmi Nair</t>
  </si>
  <si>
    <t>Flat No 2</t>
  </si>
  <si>
    <t>Coburn House</t>
  </si>
  <si>
    <t>Trafalgar Gardens</t>
  </si>
  <si>
    <t>Crawley</t>
  </si>
  <si>
    <t>RH10 7SS</t>
  </si>
  <si>
    <t>PBS Dependant</t>
  </si>
  <si>
    <t>RG5322072</t>
  </si>
  <si>
    <t>Mr Uzodhu Michael</t>
  </si>
  <si>
    <t>Stephen Walls</t>
  </si>
  <si>
    <t>Development</t>
  </si>
  <si>
    <t>Onshore Development</t>
  </si>
  <si>
    <t>Business Development Manager</t>
  </si>
  <si>
    <t>107 Odessa Road</t>
  </si>
  <si>
    <t>E7 9BL</t>
  </si>
  <si>
    <t>C2G7J6643M</t>
  </si>
  <si>
    <t>RH3695773</t>
  </si>
  <si>
    <t>Mr Francis Cyril</t>
  </si>
  <si>
    <t>Michael Meakin</t>
  </si>
  <si>
    <t>Smart Metering Operative</t>
  </si>
  <si>
    <t>Z40_7</t>
  </si>
  <si>
    <t>Flat 49 Argent House</t>
  </si>
  <si>
    <t>1 Handley Page Road</t>
  </si>
  <si>
    <t>IG11 0UF</t>
  </si>
  <si>
    <t>RD7425991</t>
  </si>
  <si>
    <t>Miss Erica Dang</t>
  </si>
  <si>
    <t>Gregory Lucas</t>
  </si>
  <si>
    <t>IST Field Engineer</t>
  </si>
  <si>
    <t>8 Birdlip Close</t>
  </si>
  <si>
    <t>Nailsea</t>
  </si>
  <si>
    <t>BS48 4TG</t>
  </si>
  <si>
    <t>RH4094579</t>
  </si>
  <si>
    <t>RG1185863</t>
  </si>
  <si>
    <t>Mr Saeed Chowdhury</t>
  </si>
  <si>
    <t>Kate Collinson</t>
  </si>
  <si>
    <t>Engineer - Fuel Route</t>
  </si>
  <si>
    <t>58 Middle Road</t>
  </si>
  <si>
    <t>Shoreham-By-Sea</t>
  </si>
  <si>
    <t>BN43 6GA</t>
  </si>
  <si>
    <t>C2G1B96781Y</t>
  </si>
  <si>
    <t>RJ8720320</t>
  </si>
  <si>
    <t>C2G8N95709C</t>
  </si>
  <si>
    <t>RE2869434</t>
  </si>
  <si>
    <t>Mrs Lily Fujihari</t>
  </si>
  <si>
    <t>Ben Wright</t>
  </si>
  <si>
    <t>Supply Chain &amp; Property Services</t>
  </si>
  <si>
    <t>Supply Chain - Shared Goods &amp; Services</t>
  </si>
  <si>
    <t>Senior Supply Chain Specialist</t>
  </si>
  <si>
    <t>25 Greenaways</t>
  </si>
  <si>
    <t>Ebley</t>
  </si>
  <si>
    <t>Stroud</t>
  </si>
  <si>
    <t>GL5 4UN</t>
  </si>
  <si>
    <t>RH0911251</t>
  </si>
  <si>
    <t>RE5493899</t>
  </si>
  <si>
    <t>Mr Habeeb Mohammed Nilam</t>
  </si>
  <si>
    <t>Dimitri Bru</t>
  </si>
  <si>
    <t>Commissioning Programme</t>
  </si>
  <si>
    <t>Commissioning Delivery NI</t>
  </si>
  <si>
    <t>Commissioning Engineer</t>
  </si>
  <si>
    <t>Flat 14</t>
  </si>
  <si>
    <t>Franklin Court</t>
  </si>
  <si>
    <t>Redcliff Mead Lane</t>
  </si>
  <si>
    <t>Bristol</t>
  </si>
  <si>
    <t>BS1 6FJ</t>
  </si>
  <si>
    <t>C2G5F45696A</t>
  </si>
  <si>
    <t>RE3973671</t>
  </si>
  <si>
    <t>Mr Tristan Boulton</t>
  </si>
  <si>
    <t>Carl Downes</t>
  </si>
  <si>
    <t>5 Toronto Road</t>
  </si>
  <si>
    <t>EX4 6LE</t>
  </si>
  <si>
    <t>UK4034024</t>
  </si>
  <si>
    <t>Miss Bianca Widjaja</t>
  </si>
  <si>
    <t>New Zealander</t>
  </si>
  <si>
    <t>Senior Consolidation Accountant</t>
  </si>
  <si>
    <t>Flat 4</t>
  </si>
  <si>
    <t>105 Warwick Road</t>
  </si>
  <si>
    <t>SW5 9EZ</t>
  </si>
  <si>
    <t>C2G3C75888C</t>
  </si>
  <si>
    <t>RG3267152</t>
  </si>
  <si>
    <t>Mr Sep Nakhjavan</t>
  </si>
  <si>
    <t>Iranian</t>
  </si>
  <si>
    <t>John Schafer</t>
  </si>
  <si>
    <t xml:space="preserve">SMO - Dual Fuel </t>
  </si>
  <si>
    <t>Wiston cottage</t>
  </si>
  <si>
    <t>Wiston road</t>
  </si>
  <si>
    <t>Nayland</t>
  </si>
  <si>
    <t>Co64lu</t>
  </si>
  <si>
    <t>RGX427756</t>
  </si>
  <si>
    <t>Mr Obi Haboush</t>
  </si>
  <si>
    <t>Syrian</t>
  </si>
  <si>
    <t>Steve Whitworth</t>
  </si>
  <si>
    <t>TMA Technical Management &amp; Acceptance</t>
  </si>
  <si>
    <t>flat 213</t>
  </si>
  <si>
    <t>The Milliners</t>
  </si>
  <si>
    <t>BS1 6WT</t>
  </si>
  <si>
    <t>RJ8196717</t>
  </si>
  <si>
    <t>RC9908461</t>
  </si>
  <si>
    <t>Mr Ka Man Yau</t>
  </si>
  <si>
    <t>Shiu Hui</t>
  </si>
  <si>
    <t>Junior Renewables Engineer</t>
  </si>
  <si>
    <t>Edinburgh EH3 8EX</t>
  </si>
  <si>
    <t>Flat 11, Sinclair Place</t>
  </si>
  <si>
    <t>EH11 1AG</t>
  </si>
  <si>
    <t>C2G7V06791Z</t>
  </si>
  <si>
    <t>RJ6611823</t>
  </si>
  <si>
    <t>C2G2W26078I</t>
  </si>
  <si>
    <t>RG4837872</t>
  </si>
  <si>
    <t>Mr Akinola Kehn-Alafun</t>
  </si>
  <si>
    <t>Martin Read</t>
  </si>
  <si>
    <t>Project Manager</t>
  </si>
  <si>
    <t>Sizewell B</t>
  </si>
  <si>
    <t>207 Kimberley Road</t>
  </si>
  <si>
    <t>Lowestoft</t>
  </si>
  <si>
    <t>NR33 0UE</t>
  </si>
  <si>
    <t>Mr Jesus Alarcon Barragan</t>
  </si>
  <si>
    <t>Mexican</t>
  </si>
  <si>
    <t>Mark Hammond</t>
  </si>
  <si>
    <t>Assistant Engineer Operations</t>
  </si>
  <si>
    <t>Z37_7_ES</t>
  </si>
  <si>
    <t>9 Calla Drive</t>
  </si>
  <si>
    <t>Garstang</t>
  </si>
  <si>
    <t>PR3 1JN</t>
  </si>
  <si>
    <t>UK3026891</t>
  </si>
  <si>
    <t>Mr Christian Ma'a</t>
  </si>
  <si>
    <t>Guillaume Callewaert</t>
  </si>
  <si>
    <t>Conventional Island Programme</t>
  </si>
  <si>
    <t>Conventional Island Delivery</t>
  </si>
  <si>
    <t>Senior Project Manager - Turbine Group</t>
  </si>
  <si>
    <t>1 Barter Close</t>
  </si>
  <si>
    <t>BS15 8JN</t>
  </si>
  <si>
    <t>Dr Yuebao Lei</t>
  </si>
  <si>
    <t>Glen Rayner</t>
  </si>
  <si>
    <t>Engineer (Protech)</t>
  </si>
  <si>
    <t>31 Kingstone Avenue</t>
  </si>
  <si>
    <t>Hucclecote</t>
  </si>
  <si>
    <t>GL3 3AR</t>
  </si>
  <si>
    <t>01452 611046</t>
  </si>
  <si>
    <t>Mr Tielman Coetzee</t>
  </si>
  <si>
    <t>Marc Paling</t>
  </si>
  <si>
    <t>Maintenance Strategic Outage - Manager</t>
  </si>
  <si>
    <t>39 Worston Lane</t>
  </si>
  <si>
    <t>Burnham On Sea</t>
  </si>
  <si>
    <t>TA8 1LY</t>
  </si>
  <si>
    <t>01278 789851</t>
  </si>
  <si>
    <t>Mr Ricardo Alarcon Barragan</t>
  </si>
  <si>
    <t>Ian Haines</t>
  </si>
  <si>
    <t>Group Head Steam and Rotating Plant SYS</t>
  </si>
  <si>
    <t>11 Swallow Close</t>
  </si>
  <si>
    <t>Bolton-Le-Sands</t>
  </si>
  <si>
    <t>LA5 8BN</t>
  </si>
  <si>
    <t>UK2190389</t>
  </si>
  <si>
    <t>Mr Sub Bangalore</t>
  </si>
  <si>
    <t>Charles Evans</t>
  </si>
  <si>
    <t>TAG Engineer - Day Maintenance</t>
  </si>
  <si>
    <t>3 Smithy Drive</t>
  </si>
  <si>
    <t>Kingsnorth</t>
  </si>
  <si>
    <t>Ashford</t>
  </si>
  <si>
    <t>TN23 3NS</t>
  </si>
  <si>
    <t>UK1998561</t>
  </si>
  <si>
    <t>Mr Ranjit Gill</t>
  </si>
  <si>
    <t>Dave Barrable</t>
  </si>
  <si>
    <t>PSR3 Technical Lead</t>
  </si>
  <si>
    <t>5 Tower Close</t>
  </si>
  <si>
    <t>GL4 3EL</t>
  </si>
  <si>
    <t>Mr Vitaliy Sharyy</t>
  </si>
  <si>
    <t>Ukrainian</t>
  </si>
  <si>
    <t>20 Duncroft Road</t>
  </si>
  <si>
    <t>GL3 3AS</t>
  </si>
  <si>
    <t>Mr Tamer Al-bishawi</t>
  </si>
  <si>
    <t>Jordanian</t>
  </si>
  <si>
    <t>Robert Gunn</t>
  </si>
  <si>
    <t>Plant Manager</t>
  </si>
  <si>
    <t>54 Craigmillar Park</t>
  </si>
  <si>
    <t>Newington</t>
  </si>
  <si>
    <t>EH16 5PT</t>
  </si>
  <si>
    <t>Dr Daniel Chan</t>
  </si>
  <si>
    <t>Singaporean</t>
  </si>
  <si>
    <t>James Eberlein</t>
  </si>
  <si>
    <t>Engineer - Component &amp; Programme Eng'ing</t>
  </si>
  <si>
    <t>81 Dover Road</t>
  </si>
  <si>
    <t>Folkestone</t>
  </si>
  <si>
    <t>CT20 1JZ</t>
  </si>
  <si>
    <t>UK1904806</t>
  </si>
  <si>
    <t>Dr Gabriel Carrillo Ureta</t>
  </si>
  <si>
    <t>Chris Lewis</t>
  </si>
  <si>
    <t>Operations Management Support TM</t>
  </si>
  <si>
    <t>32 Jeffreys Way</t>
  </si>
  <si>
    <t>Stonegallows</t>
  </si>
  <si>
    <t>TA1 5JL</t>
  </si>
  <si>
    <t>01823 462839</t>
  </si>
  <si>
    <t>Mrs Maria Mak</t>
  </si>
  <si>
    <t>29 Golden Arrow Way</t>
  </si>
  <si>
    <t>Brockworth</t>
  </si>
  <si>
    <t>GL3 4ED</t>
  </si>
  <si>
    <t>Mr Anshul Sharma</t>
  </si>
  <si>
    <t>Stewart Cupples</t>
  </si>
  <si>
    <t>Finance Shared Services</t>
  </si>
  <si>
    <t>Financial Accounting Services</t>
  </si>
  <si>
    <t>Senior Analyst - Fin Accounting Services</t>
  </si>
  <si>
    <t>20 Auchinairn Gardens</t>
  </si>
  <si>
    <t>Bishopbriggs</t>
  </si>
  <si>
    <t>G64 1GZ</t>
  </si>
  <si>
    <t>UK1308108</t>
  </si>
  <si>
    <t>Mr Geoffrey Wigan</t>
  </si>
  <si>
    <t>Andy Swift</t>
  </si>
  <si>
    <t>Reactor Operator</t>
  </si>
  <si>
    <t>73 Redwald Rd</t>
  </si>
  <si>
    <t>Rendlesham</t>
  </si>
  <si>
    <t>Woodbridge</t>
  </si>
  <si>
    <t>IP12 2TE</t>
  </si>
  <si>
    <t>01394 420 846</t>
  </si>
  <si>
    <t>RC7512597</t>
  </si>
  <si>
    <t>Mr Mike Forster</t>
  </si>
  <si>
    <t>Andrew Morrin</t>
  </si>
  <si>
    <t>9 Dunkirk Road</t>
  </si>
  <si>
    <t>Southport</t>
  </si>
  <si>
    <t>PR8 4QZ</t>
  </si>
  <si>
    <t>Mr Prabhakar Chelliah</t>
  </si>
  <si>
    <t>Peter Briggs</t>
  </si>
  <si>
    <t>Hartlepool</t>
  </si>
  <si>
    <t>8 Balmoral Road</t>
  </si>
  <si>
    <t>TS25 3AX</t>
  </si>
  <si>
    <t>RDX007897</t>
  </si>
  <si>
    <t>Mr Ufuoma Bakpa</t>
  </si>
  <si>
    <t>Nadim Anwar</t>
  </si>
  <si>
    <t>C&amp;I Engineer</t>
  </si>
  <si>
    <t>75 Mandara Grove</t>
  </si>
  <si>
    <t>Abbeydale</t>
  </si>
  <si>
    <t>GL4 5XT</t>
  </si>
  <si>
    <t>Dr Jinlei Wang</t>
  </si>
  <si>
    <t>Scott Taylor</t>
  </si>
  <si>
    <t>AGR Fault Studies Engineer</t>
  </si>
  <si>
    <t>Ormonde</t>
  </si>
  <si>
    <t>Chargrove Lane</t>
  </si>
  <si>
    <t>GL51 4XB</t>
  </si>
  <si>
    <t>Mr Venkat Kandra</t>
  </si>
  <si>
    <t>Steven Girdley</t>
  </si>
  <si>
    <t>Issue Resolution Manager - Safety Case</t>
  </si>
  <si>
    <t>17 Blake Hill Way</t>
  </si>
  <si>
    <t>GL4 4QR</t>
  </si>
  <si>
    <t>UK4062549</t>
  </si>
  <si>
    <t>Mr Santosh Sajnani</t>
  </si>
  <si>
    <t>Andrew Hill</t>
  </si>
  <si>
    <t>Process Computing Engineer</t>
  </si>
  <si>
    <t>34 Bruff Road</t>
  </si>
  <si>
    <t>Ipswich</t>
  </si>
  <si>
    <t>IP2 8GX</t>
  </si>
  <si>
    <t>Mr Paul Benjamin</t>
  </si>
  <si>
    <t>Waste &amp; Decommissioning</t>
  </si>
  <si>
    <t>Business Transition</t>
  </si>
  <si>
    <t>Head of Business Transition</t>
  </si>
  <si>
    <t>139 Old Bath Road</t>
  </si>
  <si>
    <t>GL53 7DN</t>
  </si>
  <si>
    <t>UK0165911</t>
  </si>
  <si>
    <t>Mr Daniel Gura</t>
  </si>
  <si>
    <t>Robert Griffiths</t>
  </si>
  <si>
    <t>Reactor Physics Engineer</t>
  </si>
  <si>
    <t>18 Oakhanger Lane</t>
  </si>
  <si>
    <t>Kingsway</t>
  </si>
  <si>
    <t>Quedgeley</t>
  </si>
  <si>
    <t>GL2 2FS</t>
  </si>
  <si>
    <t>Mr Valeri Todorov</t>
  </si>
  <si>
    <t>Bulgarian</t>
  </si>
  <si>
    <t>Dion Harris</t>
  </si>
  <si>
    <t>12 Pinery Road</t>
  </si>
  <si>
    <t>GL4 3FL</t>
  </si>
  <si>
    <t>Mr Jaco Behr</t>
  </si>
  <si>
    <t>Matt Ball</t>
  </si>
  <si>
    <t>Technical Advice Engineer</t>
  </si>
  <si>
    <t>9 Wansbrough</t>
  </si>
  <si>
    <t>Weston-Super-Mare</t>
  </si>
  <si>
    <t>BS22 7QZ</t>
  </si>
  <si>
    <t>Dr Ke-Shen Cheong</t>
  </si>
  <si>
    <t>Cyrille Dulski</t>
  </si>
  <si>
    <t>Manufacturing Surveillance Manager</t>
  </si>
  <si>
    <t>Moehne Lodge</t>
  </si>
  <si>
    <t>Barnes Wallis Way</t>
  </si>
  <si>
    <t>Churchdown</t>
  </si>
  <si>
    <t>GL3 2TR</t>
  </si>
  <si>
    <t>01452 546100</t>
  </si>
  <si>
    <t>Mrs Krupa Walji</t>
  </si>
  <si>
    <t>Shaun Cowles</t>
  </si>
  <si>
    <t>CTO ED C&amp;I Engineer</t>
  </si>
  <si>
    <t>132 Ralph Road</t>
  </si>
  <si>
    <t>Shirley</t>
  </si>
  <si>
    <t>Solihull</t>
  </si>
  <si>
    <t>B90 3JZ</t>
  </si>
  <si>
    <t>RC7380722</t>
  </si>
  <si>
    <t>Dr Sen Lu</t>
  </si>
  <si>
    <t>Safety Case Overview</t>
  </si>
  <si>
    <t>19 Snowshill Close</t>
  </si>
  <si>
    <t>GL4 3GE</t>
  </si>
  <si>
    <t>RC4797369</t>
  </si>
  <si>
    <t>Mr Shahzeb Malik</t>
  </si>
  <si>
    <t>Stephen Shaw</t>
  </si>
  <si>
    <t>Work Week Manager - Work Management</t>
  </si>
  <si>
    <t>28 Alderney Way</t>
  </si>
  <si>
    <t>Kennington</t>
  </si>
  <si>
    <t>TN24 9LF</t>
  </si>
  <si>
    <t>Mr Srinivasa Rao Sigakolli</t>
  </si>
  <si>
    <t>John Dickson</t>
  </si>
  <si>
    <t>Project Services</t>
  </si>
  <si>
    <t>Project Services Strategy</t>
  </si>
  <si>
    <t>Solution Architect</t>
  </si>
  <si>
    <t>1 Haslemere Court</t>
  </si>
  <si>
    <t>GL3 4PR</t>
  </si>
  <si>
    <t>01452 542 468</t>
  </si>
  <si>
    <t>A89846450720725</t>
  </si>
  <si>
    <t>Mr Pramod Prabullachandran</t>
  </si>
  <si>
    <t>Peter Antonio</t>
  </si>
  <si>
    <t>SRD Nuclear Safety Engineer - OPSB</t>
  </si>
  <si>
    <t>50 Pevensey Place</t>
  </si>
  <si>
    <t>GL2 2HP</t>
  </si>
  <si>
    <t>Miss Natasha May</t>
  </si>
  <si>
    <t>Alexander Mackie</t>
  </si>
  <si>
    <t>Plant Engineer</t>
  </si>
  <si>
    <t>7 Kinleith Mill Road</t>
  </si>
  <si>
    <t>Currie, Edinburgh</t>
  </si>
  <si>
    <t>EH14 6AX</t>
  </si>
  <si>
    <t>Mr Ievgen Kudelin</t>
  </si>
  <si>
    <t>Richie Shanley</t>
  </si>
  <si>
    <t>PWR Fault Studies Engineer</t>
  </si>
  <si>
    <t>1 Pelham Crescent</t>
  </si>
  <si>
    <t>GL3 2BN</t>
  </si>
  <si>
    <t>01452 536451</t>
  </si>
  <si>
    <t>RD1191180</t>
  </si>
  <si>
    <t>Mr Osaze Igbinovia</t>
  </si>
  <si>
    <t>Rory McShane</t>
  </si>
  <si>
    <t>Engineer - Reactor Engineering</t>
  </si>
  <si>
    <t>48 Guernsey Way</t>
  </si>
  <si>
    <t>TN24 9LW</t>
  </si>
  <si>
    <t>RE9526282</t>
  </si>
  <si>
    <t>Mr Ajibola Fasanmi</t>
  </si>
  <si>
    <t>CTO ED Electrical Engineer</t>
  </si>
  <si>
    <t>33 Bloomingdale Drive</t>
  </si>
  <si>
    <t>G75 8WD</t>
  </si>
  <si>
    <t>RG8132383</t>
  </si>
  <si>
    <t>Mr Michel Wilson</t>
  </si>
  <si>
    <t>Lucian</t>
  </si>
  <si>
    <t>Cycle Co-Ordinator - Work Management</t>
  </si>
  <si>
    <t>62 Hunter Road</t>
  </si>
  <si>
    <t>Willesborough</t>
  </si>
  <si>
    <t>TN24 0RT</t>
  </si>
  <si>
    <t>RE8308252</t>
  </si>
  <si>
    <t>Mr Mani Ariyathilaka</t>
  </si>
  <si>
    <t>Chris O'Dwyer</t>
  </si>
  <si>
    <t>18 Pine Close</t>
  </si>
  <si>
    <t>IP12 2GD</t>
  </si>
  <si>
    <t>Miss Kismat Jinadu</t>
  </si>
  <si>
    <t>Mike Wilson</t>
  </si>
  <si>
    <t>Plant Integration</t>
  </si>
  <si>
    <t>Mechanical Engineer</t>
  </si>
  <si>
    <t>EDF Paris</t>
  </si>
  <si>
    <t>Mr Deji King</t>
  </si>
  <si>
    <t>Operations Development Engineer</t>
  </si>
  <si>
    <t>30 Royal Drive</t>
  </si>
  <si>
    <t>TA6 4FT</t>
  </si>
  <si>
    <t>RG3233263</t>
  </si>
  <si>
    <t>Mr Utibe Effiong</t>
  </si>
  <si>
    <t>Scott Wigley</t>
  </si>
  <si>
    <t>System Health Engineer – P&amp;E</t>
  </si>
  <si>
    <t>7 Noble Street</t>
  </si>
  <si>
    <t>TA6 4GF</t>
  </si>
  <si>
    <t>Mr Suksun Hutangkabodee</t>
  </si>
  <si>
    <t>Thai</t>
  </si>
  <si>
    <t>SZC Project Development</t>
  </si>
  <si>
    <t>NA-NULL</t>
  </si>
  <si>
    <t>Scheduling Engineer</t>
  </si>
  <si>
    <t>6 Silbury Avenue</t>
  </si>
  <si>
    <t>Mitcham</t>
  </si>
  <si>
    <t>CR4 3SQ</t>
  </si>
  <si>
    <t>Mr Muthu Sambandan</t>
  </si>
  <si>
    <t>Sean Richards</t>
  </si>
  <si>
    <t>CTO ED Pipework Design Engineer.BWD..</t>
  </si>
  <si>
    <t>2 Guinevere Road</t>
  </si>
  <si>
    <t>St Marks</t>
  </si>
  <si>
    <t>GL51 7EF</t>
  </si>
  <si>
    <t>UK4140711</t>
  </si>
  <si>
    <t>Mr Li Chang</t>
  </si>
  <si>
    <t>Thomas Siddall</t>
  </si>
  <si>
    <t>Structural Analyst</t>
  </si>
  <si>
    <t>1 Churchview Drive</t>
  </si>
  <si>
    <t>GL4 3ES</t>
  </si>
  <si>
    <t>RG2402242</t>
  </si>
  <si>
    <t>C2G6C15182V</t>
  </si>
  <si>
    <t>RD7460356</t>
  </si>
  <si>
    <t>Mr Nan Wang</t>
  </si>
  <si>
    <t>Andy Cook</t>
  </si>
  <si>
    <t>Systems Engineer (G5/6) Electrical</t>
  </si>
  <si>
    <t>55 Bolsin Drive</t>
  </si>
  <si>
    <t>Colchester</t>
  </si>
  <si>
    <t>CO4 5FD</t>
  </si>
  <si>
    <t>RC6955887</t>
  </si>
  <si>
    <t>Mr Jins Arambankudy</t>
  </si>
  <si>
    <t>Matthew Robinson</t>
  </si>
  <si>
    <t>Engineer - Protection &amp; Electrical Eng</t>
  </si>
  <si>
    <t>15 James Haney Drive</t>
  </si>
  <si>
    <t>TN24 9SF</t>
  </si>
  <si>
    <t>RH1008457</t>
  </si>
  <si>
    <t>C2G8K75353Y</t>
  </si>
  <si>
    <t>RE2234684</t>
  </si>
  <si>
    <t>Mr Kishore Kumar Obula Ramaiah Sundararao</t>
  </si>
  <si>
    <t>Andrew Taylor</t>
  </si>
  <si>
    <t>Efficiency Engineer</t>
  </si>
  <si>
    <t>Hunterston</t>
  </si>
  <si>
    <t>Flat 5</t>
  </si>
  <si>
    <t>Lindon Gate</t>
  </si>
  <si>
    <t>2-4 Lade Street</t>
  </si>
  <si>
    <t>Largs</t>
  </si>
  <si>
    <t>KA30 8AZ</t>
  </si>
  <si>
    <t>01475 672256</t>
  </si>
  <si>
    <t>Mr Waleed Chaudhry</t>
  </si>
  <si>
    <t>49 Loft House</t>
  </si>
  <si>
    <t>College Road</t>
  </si>
  <si>
    <t>Bishopston</t>
  </si>
  <si>
    <t>BS7 9FG</t>
  </si>
  <si>
    <t>RG2705448</t>
  </si>
  <si>
    <t>Mrs Ghinwa Chammas</t>
  </si>
  <si>
    <t>Lebanese</t>
  </si>
  <si>
    <t>Doug Smart</t>
  </si>
  <si>
    <t>Health and Safety</t>
  </si>
  <si>
    <t>Sustainability</t>
  </si>
  <si>
    <t>Sustainable Business Senior Manager</t>
  </si>
  <si>
    <t>Home Worker</t>
  </si>
  <si>
    <t>14 Markwick Avenue</t>
  </si>
  <si>
    <t>Cheshunt</t>
  </si>
  <si>
    <t>EN8 9FP</t>
  </si>
  <si>
    <t>Miss Simone Sullivan</t>
  </si>
  <si>
    <t>John Farrington</t>
  </si>
  <si>
    <t>R&amp;D Business Development</t>
  </si>
  <si>
    <t>R&amp;D Project Manager</t>
  </si>
  <si>
    <t>242B Earlsfield Road</t>
  </si>
  <si>
    <t>SW18 3DX</t>
  </si>
  <si>
    <t>Mr Arsalan Siddiqui</t>
  </si>
  <si>
    <t>Sam Lewsey</t>
  </si>
  <si>
    <t>Z40_5</t>
  </si>
  <si>
    <t>Flat 11 Kings House</t>
  </si>
  <si>
    <t>Feltham</t>
  </si>
  <si>
    <t>TW13 7ER</t>
  </si>
  <si>
    <t>RJ2417859</t>
  </si>
  <si>
    <t>Mr Bharath Kantharaj</t>
  </si>
  <si>
    <t>Guy Turner</t>
  </si>
  <si>
    <t>Strategy and Analysis Team 2</t>
  </si>
  <si>
    <t>Flat 16 Fleet House</t>
  </si>
  <si>
    <t>18 Mackintosh Street</t>
  </si>
  <si>
    <t>Bromley</t>
  </si>
  <si>
    <t>BR2 9UW</t>
  </si>
  <si>
    <t>C2G8P26148S</t>
  </si>
  <si>
    <t>RG4930797</t>
  </si>
  <si>
    <t>Mrs Devon Day-Barker</t>
  </si>
  <si>
    <t>Paul Stark</t>
  </si>
  <si>
    <t>Sales Operations Analyst</t>
  </si>
  <si>
    <t>51 Budleigh Crescent</t>
  </si>
  <si>
    <t>Welling</t>
  </si>
  <si>
    <t>DA16 1DX</t>
  </si>
  <si>
    <t>RJ6152873</t>
  </si>
  <si>
    <t>T1: Tier 1 (Dependant) Partner</t>
  </si>
  <si>
    <t>RE740371</t>
  </si>
  <si>
    <t>Mr Yahya Al Zein</t>
  </si>
  <si>
    <t>210 The Crescent</t>
  </si>
  <si>
    <t>Hannover Quay</t>
  </si>
  <si>
    <t>BS1 5JR</t>
  </si>
  <si>
    <t>C2G5Q56172W</t>
  </si>
  <si>
    <t>RG4981628</t>
  </si>
  <si>
    <t>Mr Shiva Alishetty</t>
  </si>
  <si>
    <t>Alex Dunbar</t>
  </si>
  <si>
    <t>2 Greenfinch Close</t>
  </si>
  <si>
    <t>Hardwicke</t>
  </si>
  <si>
    <t>GL2 4DQ</t>
  </si>
  <si>
    <t>RC2410307</t>
  </si>
  <si>
    <t>Ms Tessa Donovan</t>
  </si>
  <si>
    <t>Jill Chung</t>
  </si>
  <si>
    <t>NNB Legal</t>
  </si>
  <si>
    <t>Construction Orange</t>
  </si>
  <si>
    <t>Solicitor HPC</t>
  </si>
  <si>
    <t>Flat 2</t>
  </si>
  <si>
    <t>71H Drayton Park Road</t>
  </si>
  <si>
    <t>Islington</t>
  </si>
  <si>
    <t>N5 1DU</t>
  </si>
  <si>
    <t>RE8677713</t>
  </si>
  <si>
    <t>Mr Hanley Niu</t>
  </si>
  <si>
    <t>Annie Brotherston</t>
  </si>
  <si>
    <t>People Development</t>
  </si>
  <si>
    <t>Leadership &amp; Project Management</t>
  </si>
  <si>
    <t>Commercial Graduate</t>
  </si>
  <si>
    <t>205 Dovecote House</t>
  </si>
  <si>
    <t>Water Gardens Square</t>
  </si>
  <si>
    <t>SE16 6RG</t>
  </si>
  <si>
    <t>C2G2X16380C</t>
  </si>
  <si>
    <t>RH0395630</t>
  </si>
  <si>
    <t>Mrs Esther Till</t>
  </si>
  <si>
    <t>Andrew Brudenell</t>
  </si>
  <si>
    <t>Senior Process Analyst</t>
  </si>
  <si>
    <t>33 Foxglove Close</t>
  </si>
  <si>
    <t>Newton About</t>
  </si>
  <si>
    <t>TQ12 1ED</t>
  </si>
  <si>
    <t>RH9296328</t>
  </si>
  <si>
    <t>Mr Dmitrii Ishutin</t>
  </si>
  <si>
    <t>Mark Richardson</t>
  </si>
  <si>
    <t>Customer Cost Management</t>
  </si>
  <si>
    <t>Volume Forecasting Senior Analyst</t>
  </si>
  <si>
    <t>Flat 1</t>
  </si>
  <si>
    <t>57 St Peters Road</t>
  </si>
  <si>
    <t>CR0 1HS</t>
  </si>
  <si>
    <t>C2G6J06416J</t>
  </si>
  <si>
    <t>RH7590361</t>
  </si>
  <si>
    <t>Mrs Humera Naseer</t>
  </si>
  <si>
    <t>Stuart Fenner</t>
  </si>
  <si>
    <t>Strategic Acct Mgr-Energy Solution Sales</t>
  </si>
  <si>
    <t>1 Tonge Close</t>
  </si>
  <si>
    <t>Beckenham, Bromley</t>
  </si>
  <si>
    <t>BR3 3JZ</t>
  </si>
  <si>
    <t>RJ9334276</t>
  </si>
  <si>
    <t>T2: Tier 2 (Dependant)</t>
  </si>
  <si>
    <t>RE8627650</t>
  </si>
  <si>
    <t>Mr Ernest IKPEAMA</t>
  </si>
  <si>
    <t>Lloyd Dowden</t>
  </si>
  <si>
    <t>Science &amp; Engineering Graduate Trainee</t>
  </si>
  <si>
    <t>28 Brunswick Road</t>
  </si>
  <si>
    <t>GL1 1JJ</t>
  </si>
  <si>
    <t>C2G3S16380C</t>
  </si>
  <si>
    <t>RH3575118</t>
  </si>
  <si>
    <t>Mr Jeffrey Boardman</t>
  </si>
  <si>
    <t>Kevin McNealey</t>
  </si>
  <si>
    <t>Project Controls</t>
  </si>
  <si>
    <t>HPC Reporting Manager</t>
  </si>
  <si>
    <t>12 Ashley Apartments</t>
  </si>
  <si>
    <t>BS7 9EA</t>
  </si>
  <si>
    <t>RH1160660</t>
  </si>
  <si>
    <t>Mr Ali Raza</t>
  </si>
  <si>
    <t>Roger Ellis</t>
  </si>
  <si>
    <t>Technical Analyst</t>
  </si>
  <si>
    <t>10 Hemsby Walk</t>
  </si>
  <si>
    <t>Furnace Green</t>
  </si>
  <si>
    <t>RH10 6RG</t>
  </si>
  <si>
    <t>C2G2J86564J</t>
  </si>
  <si>
    <t>RJ6080026</t>
  </si>
  <si>
    <t>Miss Kyla Schliebs</t>
  </si>
  <si>
    <t>Simon Rowley</t>
  </si>
  <si>
    <t>Generation Liaison</t>
  </si>
  <si>
    <t>Senior Analyst - Asset Operations</t>
  </si>
  <si>
    <t>Flat 3</t>
  </si>
  <si>
    <t>11 Clarendon Drive</t>
  </si>
  <si>
    <t>SW15 1AW</t>
  </si>
  <si>
    <t>T5: Tier 5 (Youth Mobility Scheme)</t>
  </si>
  <si>
    <t>RH6351111</t>
  </si>
  <si>
    <t>Ms Kathryn Kesselman</t>
  </si>
  <si>
    <t>Clive Shaw</t>
  </si>
  <si>
    <t>Fleet Certified Instructor</t>
  </si>
  <si>
    <t>63 Lister Road</t>
  </si>
  <si>
    <t>Lister Roa</t>
  </si>
  <si>
    <t>Dursley</t>
  </si>
  <si>
    <t>GL11 5GB</t>
  </si>
  <si>
    <t>RJ0700986</t>
  </si>
  <si>
    <t>C2G0X46498Y</t>
  </si>
  <si>
    <t>RH1873363</t>
  </si>
  <si>
    <t>Mrs Michelle Campbell-Robson</t>
  </si>
  <si>
    <t>Andy Edgar</t>
  </si>
  <si>
    <t>Asset Management</t>
  </si>
  <si>
    <t>Asset Environmental Officer</t>
  </si>
  <si>
    <t>Alexander House</t>
  </si>
  <si>
    <t>56 Low Willington</t>
  </si>
  <si>
    <t>Willington</t>
  </si>
  <si>
    <t>Crook</t>
  </si>
  <si>
    <t>DL15 0BG</t>
  </si>
  <si>
    <t>UK3711788</t>
  </si>
  <si>
    <t>Mr Travis Bruce</t>
  </si>
  <si>
    <t>Colin Penman</t>
  </si>
  <si>
    <t>Operate Technician</t>
  </si>
  <si>
    <t>Z37_7</t>
  </si>
  <si>
    <t>3 The Square</t>
  </si>
  <si>
    <t>Cockburnspath</t>
  </si>
  <si>
    <t>TD13 5XX</t>
  </si>
  <si>
    <t>RH6699299</t>
  </si>
  <si>
    <t>Mr Kelechukwu Okafor</t>
  </si>
  <si>
    <t>Nigerien</t>
  </si>
  <si>
    <t>Roma Robertson</t>
  </si>
  <si>
    <t>Customers Legal - Solicitors</t>
  </si>
  <si>
    <t>Solicitor</t>
  </si>
  <si>
    <t>Rosslyn Crescent</t>
  </si>
  <si>
    <t>HA9 7PA</t>
  </si>
  <si>
    <t>RJ5616504</t>
  </si>
  <si>
    <t>RG0232468</t>
  </si>
  <si>
    <t>Mr Mustafa Akcakaya</t>
  </si>
  <si>
    <t>Renewables Engineer - Wind Power</t>
  </si>
  <si>
    <t>5/Flat 2, Ritchie Place</t>
  </si>
  <si>
    <t>EH11 1DT</t>
  </si>
  <si>
    <t>C2G6W26702F</t>
  </si>
  <si>
    <t>RJ1400017</t>
  </si>
  <si>
    <t>C2G2K46644</t>
  </si>
  <si>
    <t>Miss Keren Li</t>
  </si>
  <si>
    <t>313 Horizon</t>
  </si>
  <si>
    <t>Broadweir</t>
  </si>
  <si>
    <t>BS1 3DJ</t>
  </si>
  <si>
    <t>RGX775690</t>
  </si>
  <si>
    <t>Dr Di Zhang</t>
  </si>
  <si>
    <t>Matt Levenston</t>
  </si>
  <si>
    <t>Corporate Strategy</t>
  </si>
  <si>
    <t>Strategic Planning &amp; Customers Strategy</t>
  </si>
  <si>
    <t>Strategy Analyst</t>
  </si>
  <si>
    <t>34 Shortlands</t>
  </si>
  <si>
    <t>w68dj</t>
  </si>
  <si>
    <t>RJ6079422</t>
  </si>
  <si>
    <t>Mrs Carolina de Castro Moraes Porto</t>
  </si>
  <si>
    <t>James Earl-Spurr</t>
  </si>
  <si>
    <t>Commissioning Delivery</t>
  </si>
  <si>
    <t>Mechanical Commissioning Engineer</t>
  </si>
  <si>
    <t>97 Pirton Lane</t>
  </si>
  <si>
    <t>GL3 2SB</t>
  </si>
  <si>
    <t>RH8209226</t>
  </si>
  <si>
    <t>Miss Louise Yeow</t>
  </si>
  <si>
    <t>Marie Berthelot</t>
  </si>
  <si>
    <t>R&amp;D Renewables</t>
  </si>
  <si>
    <t>Intern</t>
  </si>
  <si>
    <t>6A Woodland Road</t>
  </si>
  <si>
    <t>SE19 1NT</t>
  </si>
  <si>
    <t>T4: Tier 4 (General)</t>
  </si>
  <si>
    <t>RE6884523</t>
  </si>
  <si>
    <t>Mr Andy Wang</t>
  </si>
  <si>
    <t>Maria Brucoli</t>
  </si>
  <si>
    <t>R&amp;D Smart Customers</t>
  </si>
  <si>
    <t>Industrial Placement</t>
  </si>
  <si>
    <t>20 Wellesley Road</t>
  </si>
  <si>
    <t>CR0 9BN</t>
  </si>
  <si>
    <t>RH5574078</t>
  </si>
  <si>
    <t>Ms Anna Spinelli</t>
  </si>
  <si>
    <t>Debbie Wagstaff</t>
  </si>
  <si>
    <t>Property Services - Estates</t>
  </si>
  <si>
    <t>Property Planning and Reporting Analyst</t>
  </si>
  <si>
    <t>Radbourne Rd</t>
  </si>
  <si>
    <t>SW12 0DZ</t>
  </si>
  <si>
    <t>EEA National</t>
  </si>
  <si>
    <t>Mr Eduardo Antonio</t>
  </si>
  <si>
    <t>Angolan</t>
  </si>
  <si>
    <t>Neil Weston</t>
  </si>
  <si>
    <t>Issue Resolution - Industrial Placement</t>
  </si>
  <si>
    <t>Flat 22, Shafterbury Crusade</t>
  </si>
  <si>
    <t>Union Road</t>
  </si>
  <si>
    <t>BS2 OLP</t>
  </si>
  <si>
    <t>RE5936863</t>
  </si>
  <si>
    <t>Mr Brian Duncan</t>
  </si>
  <si>
    <t>Ioannis Tsigkogiannis</t>
  </si>
  <si>
    <t>I&amp;C Engineer</t>
  </si>
  <si>
    <t>Hawkins Lane</t>
  </si>
  <si>
    <t>BS16WQ</t>
  </si>
  <si>
    <t>RJ6081071</t>
  </si>
  <si>
    <t>Mr Obioha Okereke</t>
  </si>
  <si>
    <t>Meg Moore</t>
  </si>
  <si>
    <t>Science &amp; Engineering Graduate – Elec</t>
  </si>
  <si>
    <t>12 ings road</t>
  </si>
  <si>
    <t>LS9 9BD</t>
  </si>
  <si>
    <t>C2G1J96812E</t>
  </si>
  <si>
    <t>RJX973067</t>
  </si>
  <si>
    <t>RH1545062</t>
  </si>
  <si>
    <t>Miss Toon Jatupitpornchan</t>
  </si>
  <si>
    <t>Stephen Priddle</t>
  </si>
  <si>
    <t>Finance Graduate</t>
  </si>
  <si>
    <t>321 Point West</t>
  </si>
  <si>
    <t>116 Cromwell Road</t>
  </si>
  <si>
    <t>SW74XB</t>
  </si>
  <si>
    <t>C2G1J86812E</t>
  </si>
  <si>
    <t>RJ2707186</t>
  </si>
  <si>
    <t>RHX540997</t>
  </si>
  <si>
    <t>Mr Jia Jie Lim</t>
  </si>
  <si>
    <t>Steve Dobbie</t>
  </si>
  <si>
    <t>Innovation - Connected Homes</t>
  </si>
  <si>
    <t>Data Scientist Intern</t>
  </si>
  <si>
    <t>Flat 64 Reading House</t>
  </si>
  <si>
    <t>Hallfield Estate</t>
  </si>
  <si>
    <t>W2 6HE</t>
  </si>
  <si>
    <t>RH0818423</t>
  </si>
  <si>
    <t>Mr Hong Hao Ng</t>
  </si>
  <si>
    <t>Craig Duffy</t>
  </si>
  <si>
    <t>Blyth Project</t>
  </si>
  <si>
    <t>Atria One</t>
  </si>
  <si>
    <t>6a wheatfield street</t>
  </si>
  <si>
    <t>EH11 2NY</t>
  </si>
  <si>
    <t>C2G4L46802C</t>
  </si>
  <si>
    <t>RJ6635305</t>
  </si>
  <si>
    <t>RGX465839</t>
  </si>
  <si>
    <t>Mr Fedor Korablev</t>
  </si>
  <si>
    <t>Carolyne Baker</t>
  </si>
  <si>
    <t>Top Flat</t>
  </si>
  <si>
    <t>2 The Cloisters</t>
  </si>
  <si>
    <t>SR2 7BD</t>
  </si>
  <si>
    <t>C2G4F56802C</t>
  </si>
  <si>
    <t>RJ4665842</t>
  </si>
  <si>
    <t>Mr Amal Jagadeesh</t>
  </si>
  <si>
    <t>Ben Crisp</t>
  </si>
  <si>
    <t>14 Windsor Grove</t>
  </si>
  <si>
    <t>LA4 4LW</t>
  </si>
  <si>
    <t>C2G4L66752R</t>
  </si>
  <si>
    <t>RJ7463321</t>
  </si>
  <si>
    <t>Miss Ayomide Ukpong</t>
  </si>
  <si>
    <t>Matt Babbage</t>
  </si>
  <si>
    <t>Science &amp; Engineering Graduate – Elect</t>
  </si>
  <si>
    <t>39 Eastside Mews</t>
  </si>
  <si>
    <t>E3 2GU</t>
  </si>
  <si>
    <t>C2G1K06812E</t>
  </si>
  <si>
    <t>RJX845979</t>
  </si>
  <si>
    <t>RH8755922</t>
  </si>
  <si>
    <t>Miss Shannon Cullison</t>
  </si>
  <si>
    <t>Paul Devlin</t>
  </si>
  <si>
    <t>35 Queensway</t>
  </si>
  <si>
    <t>Houghton-le-Spring</t>
  </si>
  <si>
    <t>DH5 8EW</t>
  </si>
  <si>
    <t>RJ7782954</t>
  </si>
  <si>
    <t>Miss Olivia Zhang</t>
  </si>
  <si>
    <t>70 Acton Street</t>
  </si>
  <si>
    <t>WC1X 9NB</t>
  </si>
  <si>
    <t>T5: Tier 5 (Government Authorized Exchange)</t>
  </si>
  <si>
    <t>RJX762487</t>
  </si>
  <si>
    <t>Mr Matthew Allen</t>
  </si>
  <si>
    <t>Pivot Power</t>
  </si>
  <si>
    <t>CEO Pivot Power</t>
  </si>
  <si>
    <t>Remote Office</t>
  </si>
  <si>
    <t>7 Grandison Road</t>
  </si>
  <si>
    <t>SW11 6LS</t>
  </si>
  <si>
    <t>RC7312630</t>
  </si>
  <si>
    <t>Mr Shukjun Park</t>
  </si>
  <si>
    <t>Erin Brassil</t>
  </si>
  <si>
    <t>Senior Deal Structurer</t>
  </si>
  <si>
    <t>Flat 606, 2 Praed St</t>
  </si>
  <si>
    <t>Balmoral Apt</t>
  </si>
  <si>
    <t>W2 1AL</t>
  </si>
  <si>
    <t>RG6474203</t>
  </si>
  <si>
    <t>Mr Satyajit Dey</t>
  </si>
  <si>
    <t>Structural Assessment Engineer</t>
  </si>
  <si>
    <t>56 Protheroes House, Denmark Street</t>
  </si>
  <si>
    <t>BS1 5EE</t>
  </si>
  <si>
    <t>C2G1O96834I</t>
  </si>
  <si>
    <t>RJ9804067</t>
  </si>
  <si>
    <t xml:space="preserve">_x000D_
</t>
  </si>
  <si>
    <t>Robot Comment 22 11 19:_x000D_
- LTR/Visa Expiry Date in 3 months or less</t>
  </si>
  <si>
    <t>22/11/2019</t>
  </si>
  <si>
    <t xml:space="preserve">Long term sickness_x000D_
</t>
  </si>
  <si>
    <t xml:space="preserve">COS issued 26/7/19 - Employer Check carried out 3/9/19. Outcome Positive valid until 9/3/20_x000D_
</t>
  </si>
  <si>
    <t xml:space="preserve">COS issued 26/7/19 - Employer Check carried out 3/9/19. Outcome Positive valid until 8/3/20_x000D_
</t>
  </si>
  <si>
    <t xml:space="preserve">Employer Check carried out 12/9/19. Outcome Positive valid until 11/3/20_x000D_
</t>
  </si>
  <si>
    <t xml:space="preserve">COS issued 26/8/19 - Tier 2 application made 24/9/19_x000D_
</t>
  </si>
  <si>
    <t>COS issued 26/8/19 - Tier 2 application made 24/9/19_x000D_
_x000D_
_x000D_
Robot Comment 22 11 19:_x000D_
- LTR/Visa Expiry Date in 3 months or less</t>
  </si>
  <si>
    <t xml:space="preserve">Intern - 12 months contract will leave at end of T5 sponsorship_x000D_
</t>
  </si>
  <si>
    <t>Tier 2 granted - await BRP verified by line manager_x000D_
_x000D_
_x000D_
Robot Comment 22 11 19:_x000D_
- LTR/Visa Expiry Date in 3 months or less</t>
  </si>
  <si>
    <t>Mr Jialei Shi</t>
  </si>
  <si>
    <t>Junior Data Scientist</t>
  </si>
  <si>
    <t>Flat 37 Russell House</t>
  </si>
  <si>
    <t>Russell Mews</t>
  </si>
  <si>
    <t>BS1 4PS</t>
  </si>
  <si>
    <t>RH1932832</t>
  </si>
  <si>
    <t>Tier 2 granted - myHR updated to reflect correct visa type</t>
  </si>
  <si>
    <t>Joiner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</si>
</sst>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u/>
      <sz val="14"/>
      <color indexed="8"/>
      <name val="Calibri"/>
      <family val="2"/>
    </font>
    <font>
      <b/>
      <sz val="12"/>
      <color indexed="8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36">
    <xf numFmtId="0" fontId="0" fillId="0" borderId="0" xfId="0"/>
    <xf numFmtId="0" fontId="5" fillId="0" borderId="0" xfId="1"/>
    <xf numFmtId="0" fontId="5" fillId="0" borderId="1" xfId="1" applyBorder="1"/>
    <xf numFmtId="0" fontId="5" fillId="0" borderId="2" xfId="1" applyNumberFormat="1" applyBorder="1"/>
    <xf numFmtId="0" fontId="5" fillId="0" borderId="3" xfId="1" applyNumberFormat="1" applyBorder="1"/>
    <xf numFmtId="0" fontId="5" fillId="0" borderId="4" xfId="1" applyBorder="1"/>
    <xf numFmtId="0" fontId="5" fillId="0" borderId="5" xfId="1" applyNumberFormat="1" applyBorder="1"/>
    <xf numFmtId="0" fontId="5" fillId="0" borderId="6" xfId="1" applyNumberFormat="1" applyBorder="1"/>
    <xf numFmtId="0" fontId="5" fillId="0" borderId="7" xfId="1" applyBorder="1"/>
    <xf numFmtId="0" fontId="5" fillId="0" borderId="8" xfId="1" applyNumberFormat="1" applyBorder="1"/>
    <xf numFmtId="0" fontId="5" fillId="0" borderId="9" xfId="1" applyNumberFormat="1" applyBorder="1"/>
    <xf numFmtId="0" fontId="1" fillId="2" borderId="12" xfId="1" applyFont="1" applyFill="1" applyBorder="1"/>
    <xf numFmtId="0" fontId="2" fillId="3" borderId="13" xfId="1" applyFont="1" applyFill="1" applyBorder="1"/>
    <xf numFmtId="0" fontId="3" fillId="0" borderId="0" xfId="1" applyFont="1"/>
    <xf numFmtId="0" fontId="5" fillId="0" borderId="3" xfId="1" applyBorder="1"/>
    <xf numFmtId="0" fontId="5" fillId="0" borderId="6" xfId="1" applyBorder="1"/>
    <xf numFmtId="0" fontId="1" fillId="0" borderId="10" xfId="1" applyFont="1" applyBorder="1" applyAlignment="1">
      <alignment horizontal="center"/>
    </xf>
    <xf numFmtId="0" fontId="1" fillId="0" borderId="11" xfId="1" applyFont="1" applyBorder="1" applyAlignment="1">
      <alignment horizontal="center"/>
    </xf>
    <xf numFmtId="0" fontId="0" fillId="0" borderId="2" xfId="0" applyBorder="1"/>
    <xf numFmtId="0" fontId="6" fillId="4" borderId="2" xfId="0" applyFont="1" applyFill="1" applyBorder="1"/>
    <xf numFmtId="0" fontId="6" fillId="4" borderId="2" xfId="0" applyNumberFormat="1" applyFont="1" applyFill="1" applyBorder="1"/>
    <xf numFmtId="0" fontId="0" fillId="0" borderId="0" xfId="0" applyNumberFormat="1"/>
    <xf numFmtId="14" fontId="6" fillId="4" borderId="2" xfId="0" applyNumberFormat="1" applyFont="1" applyFill="1" applyBorder="1"/>
    <xf numFmtId="14" fontId="0" fillId="0" borderId="0" xfId="0" applyNumberFormat="1"/>
    <xf numFmtId="0" fontId="0" fillId="0" borderId="0" xfId="0" applyAlignment="1">
      <alignment wrapText="1"/>
    </xf>
    <xf numFmtId="0" fontId="6" fillId="4" borderId="2" xfId="0" applyFont="1" applyFill="1" applyBorder="1" applyAlignment="1">
      <alignment wrapText="1"/>
    </xf>
    <xf numFmtId="0" fontId="0" fillId="0" borderId="0" xfId="0" applyAlignment="1">
      <alignment vertical="center" wrapText="1"/>
    </xf>
    <xf numFmtId="0" fontId="6" fillId="4" borderId="17" xfId="0" applyFont="1" applyFill="1" applyBorder="1"/>
    <xf numFmtId="0" fontId="4" fillId="2" borderId="14" xfId="1" applyFont="1" applyFill="1" applyBorder="1" applyAlignment="1"/>
    <xf numFmtId="0" fontId="4" fillId="2" borderId="15" xfId="1" applyFont="1" applyFill="1" applyBorder="1" applyAlignment="1"/>
    <xf numFmtId="0" fontId="4" fillId="2" borderId="16" xfId="1" applyFont="1" applyFill="1" applyBorder="1" applyAlignment="1"/>
    <xf numFmtId="0" fontId="5" fillId="0" borderId="1" xfId="1" applyBorder="1" applyAlignment="1"/>
    <xf numFmtId="0" fontId="5" fillId="0" borderId="2" xfId="1" applyBorder="1" applyAlignment="1"/>
    <xf numFmtId="0" fontId="5" fillId="0" borderId="4" xfId="1" applyBorder="1" applyAlignment="1"/>
    <xf numFmtId="0" fontId="5" fillId="0" borderId="5" xfId="1" applyBorder="1" applyAlignment="1"/>
    <xf numFmtId="22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1">
    <dxf>
      <fill>
        <patternFill>
          <fgColor indexed="64"/>
          <bgColor theme="5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29"/>
  <sheetViews>
    <sheetView showGridLines="0" tabSelected="1" topLeftCell="A13" zoomScale="90" zoomScaleNormal="90" workbookViewId="0">
      <selection activeCell="C29" sqref="C29"/>
    </sheetView>
  </sheetViews>
  <sheetFormatPr defaultRowHeight="14.25" x14ac:dyDescent="0.45"/>
  <cols>
    <col min="1" max="1" width="47" bestFit="1" customWidth="1"/>
    <col min="2" max="2" width="11.1328125" bestFit="1" customWidth="1"/>
    <col min="3" max="3" width="35.59765625" bestFit="1" customWidth="1"/>
    <col min="4" max="4" width="10.3984375" bestFit="1" customWidth="1"/>
    <col min="5" max="5" width="8" bestFit="1" customWidth="1"/>
  </cols>
  <sheetData>
    <row r="1" spans="1:5" ht="18.399999999999999" thickBot="1" x14ac:dyDescent="0.6">
      <c r="A1" s="12" t="s">
        <v>2</v>
      </c>
      <c r="B1" s="1"/>
      <c r="C1" s="1"/>
      <c r="D1" s="1"/>
      <c r="E1" s="1"/>
    </row>
    <row r="2" spans="1:5" ht="14.65" thickBot="1" x14ac:dyDescent="0.5">
      <c r="A2" s="1"/>
      <c r="B2" s="1"/>
      <c r="C2" s="1"/>
      <c r="D2" s="1"/>
      <c r="E2" s="1"/>
    </row>
    <row r="3" spans="1:5" ht="14.65" thickBot="1" x14ac:dyDescent="0.5">
      <c r="A3" s="11" t="s">
        <v>3</v>
      </c>
      <c r="B3" s="16" t="s">
        <v>0</v>
      </c>
      <c r="C3" s="16" t="s">
        <v>16</v>
      </c>
      <c r="D3" s="16" t="s">
        <v>1</v>
      </c>
      <c r="E3" s="17" t="s">
        <v>4</v>
      </c>
    </row>
    <row r="4" spans="1:5" x14ac:dyDescent="0.45">
      <c r="A4" s="8" t="s">
        <v>5</v>
      </c>
      <c r="B4" s="9">
        <f>COUNTIFS(ILR.PR!$E:$E,"Generation",ILR.PR!T:T,"PR: Permanent Residency/Citizenship")</f>
        <v>27</v>
      </c>
      <c r="C4" s="9">
        <f>SUM(COUNTIFS(ILR.PR!$E:$E,"Hinkley Point C",ILR.PR!T:T,"PR: Permanent Residency/Citizenship")+COUNTIFS(ILR.PR!$E:$E,"Nuclear Development",ILR.PR!T:T,"PR: Permanent Residency/Citizenship"))</f>
        <v>14</v>
      </c>
      <c r="D4" s="9">
        <f>COUNTIFS(ILR.PR!$E:$E,"Customers",ILR.PR!T:T,"PR: Permanent Residency/Citizenship")</f>
        <v>24</v>
      </c>
      <c r="E4" s="10">
        <f>COUNTIFS(ILR.PR!T:T,"PR: Permanent Residency/Citizenship")-SUM(Dashboard!B4:D4)</f>
        <v>5</v>
      </c>
    </row>
    <row r="5" spans="1:5" x14ac:dyDescent="0.45">
      <c r="A5" s="2" t="s">
        <v>6</v>
      </c>
      <c r="B5" s="3">
        <f>COUNTIFS(ILR.PR!$E:$E,"Generation",ILR.PR!T:T,"ILR: Indefinite Leave to Remain")</f>
        <v>25</v>
      </c>
      <c r="C5" s="3">
        <f>SUM(COUNTIFS(ILR.PR!$E:$E,"Hinkley Point C",ILR.PR!T:T,"ILR: Indefinite Leave to Remain")+COUNTIFS(ILR.PR!$E:$E,"Nuclear Development",ILR.PR!T:T,"ILR: Indefinite Leave to Remain"))</f>
        <v>9</v>
      </c>
      <c r="D5" s="3">
        <f>COUNTIFS(ILR.PR!$E:$E,"Customers",ILR.PR!T:T,"ILR: Indefinite Leave to Remain")</f>
        <v>30</v>
      </c>
      <c r="E5" s="4">
        <f>COUNTIFS(ILR.PR!T:T,"ILR: Indefinite Leave to Remain")-SUM(Dashboard!B5:D5)</f>
        <v>11</v>
      </c>
    </row>
    <row r="6" spans="1:5" ht="14.65" thickBot="1" x14ac:dyDescent="0.5">
      <c r="A6" s="5" t="s">
        <v>7</v>
      </c>
      <c r="B6" s="6">
        <f>COUNTIFS('Limited Leave'!$E:$E,"Generation")</f>
        <v>11</v>
      </c>
      <c r="C6" s="6">
        <f>SUM(COUNTIFS('Limited Leave'!$E:$E,"Hinkley Point C")+COUNTIFS('Limited Leave'!$E:$E,"Nuclear Development"))</f>
        <v>10</v>
      </c>
      <c r="D6" s="6">
        <f>COUNTIFS('Limited Leave'!$E:$E,"Customers")</f>
        <v>14</v>
      </c>
      <c r="E6" s="7">
        <f>COUNTA('Limited Leave'!$A:$A)-1-SUM(Dashboard!B6:D6)</f>
        <v>13</v>
      </c>
    </row>
    <row r="7" spans="1:5" ht="14.65" thickBot="1" x14ac:dyDescent="0.5">
      <c r="A7" s="1"/>
      <c r="B7" s="1"/>
      <c r="C7" s="1"/>
      <c r="D7" s="1"/>
      <c r="E7" s="1"/>
    </row>
    <row r="8" spans="1:5" ht="14.65" thickBot="1" x14ac:dyDescent="0.5">
      <c r="A8" s="11" t="s">
        <v>8</v>
      </c>
      <c r="B8" s="16" t="s">
        <v>0</v>
      </c>
      <c r="C8" s="16" t="s">
        <v>16</v>
      </c>
      <c r="D8" s="16" t="s">
        <v>1</v>
      </c>
      <c r="E8" s="17" t="s">
        <v>4</v>
      </c>
    </row>
    <row r="9" spans="1:5" x14ac:dyDescent="0.45">
      <c r="A9" s="8" t="s">
        <v>9</v>
      </c>
      <c r="B9" s="9">
        <f>SUM(COUNTIFS('Limited Leave'!$E:$E,"Generation",'Limited Leave'!T:T,"*T2: Tier 2*")+COUNTIFS('Limited Leave'!$E:$E,"Generation",'Limited Leave'!$T:$T,"*T2: Tier  2 G*"))</f>
        <v>7</v>
      </c>
      <c r="C9" s="9">
        <f>SUM(COUNTIFS('Limited Leave'!$E:$E,"Hinkley Point C",'Limited Leave'!$T:$T,"*T2: Tier 2 G*")+COUNTIFS('Limited Leave'!$E:$E,"Hinkley Point C",'Limited Leave'!$T:$T,"*T2: Tier  2 G*"))+(COUNTIFS('Limited Leave'!$E:$E,"Nuclear Development",'Limited Leave'!$T:$T,"*T2: Tier 2 G*")+COUNTIFS('Limited Leave'!$E:$E,"Nuclear Development",'Limited Leave'!$T:$T,"*T2: Tier  2 G*"))</f>
        <v>4</v>
      </c>
      <c r="D9" s="9">
        <f>SUM(COUNTIFS('Limited Leave'!$E:$E,"Customers",'Limited Leave'!$T:$T,"*T2: Tier 2 G*")+COUNTIFS('Limited Leave'!$E:$E,"Customers",'Limited Leave'!$T:$T,"*T2: Tier  2 G*"))</f>
        <v>4</v>
      </c>
      <c r="E9" s="10">
        <f>SUM(COUNTIFS('Limited Leave'!T:T,"*T2: Tier 2 G*")+COUNTIFS('Limited Leave'!T:T,"*T2: Tier  2 G*")-SUM(Dashboard!B9:D9))</f>
        <v>7</v>
      </c>
    </row>
    <row r="10" spans="1:5" ht="14.65" thickBot="1" x14ac:dyDescent="0.5">
      <c r="A10" s="5" t="s">
        <v>10</v>
      </c>
      <c r="B10" s="6">
        <f>COUNTIFS('Limited Leave'!$E:$E,"Generation",'Limited Leave'!T:T,"&lt;&gt;*Tier 2*")</f>
        <v>6</v>
      </c>
      <c r="C10" s="6">
        <f>SUM(COUNTIFS('Limited Leave'!$E:$E,"Hinkley Point C",'Limited Leave'!T:T,"&lt;&gt;*Tier 2*")-COUNTIFS('Limited Leave'!$E:$E,"Hinkley Point C",'Limited Leave'!T:T,"*Tier  2 Gen*"))+(COUNTIFS('Limited Leave'!$E:$E,"Nuclear Development",'Limited Leave'!T:T,"&lt;&gt;*Tier 2*")-COUNTIFS('Limited Leave'!$E:$E,"Nuclear Development",'Limited Leave'!T:T,"*Tier  2 Gen*"))</f>
        <v>6</v>
      </c>
      <c r="D10" s="6">
        <f>COUNTIFS('Limited Leave'!$E:$E,"Customers",'Limited Leave'!T:T,"&lt;&gt;*Tier 2*")</f>
        <v>10</v>
      </c>
      <c r="E10" s="7">
        <f>SUM(B6:E6)-SUM(B9:E9,B10:D10)</f>
        <v>4</v>
      </c>
    </row>
    <row r="13" spans="1:5" ht="18" x14ac:dyDescent="0.55000000000000004">
      <c r="A13" s="13" t="s">
        <v>11</v>
      </c>
      <c r="B13" s="1"/>
      <c r="C13" s="1"/>
      <c r="D13" s="1"/>
      <c r="E13" s="1"/>
    </row>
    <row r="14" spans="1:5" ht="14.65" thickBot="1" x14ac:dyDescent="0.5">
      <c r="A14" s="1"/>
      <c r="B14" s="1"/>
      <c r="C14" s="1"/>
      <c r="D14" s="1"/>
      <c r="E14" s="1"/>
    </row>
    <row r="15" spans="1:5" ht="15.75" x14ac:dyDescent="0.5">
      <c r="A15" s="28" t="s">
        <v>12</v>
      </c>
      <c r="B15" s="29"/>
      <c r="C15" s="30"/>
      <c r="D15" s="1"/>
      <c r="E15" s="1"/>
    </row>
    <row r="16" spans="1:5" x14ac:dyDescent="0.45">
      <c r="A16" s="31" t="s">
        <v>5</v>
      </c>
      <c r="B16" s="32"/>
      <c r="C16" s="14">
        <f>SUM(B4:E4)</f>
        <v>70</v>
      </c>
      <c r="D16" s="1"/>
      <c r="E16" s="1"/>
    </row>
    <row r="17" spans="1:3" x14ac:dyDescent="0.45">
      <c r="A17" s="31" t="s">
        <v>6</v>
      </c>
      <c r="B17" s="32"/>
      <c r="C17" s="14">
        <f>SUM(B5:E5)</f>
        <v>75</v>
      </c>
    </row>
    <row r="18" spans="1:3" ht="14.65" thickBot="1" x14ac:dyDescent="0.5">
      <c r="A18" s="33" t="s">
        <v>7</v>
      </c>
      <c r="B18" s="34"/>
      <c r="C18" s="15">
        <f>SUM(B6:E6)</f>
        <v>48</v>
      </c>
    </row>
    <row r="19" spans="1:3" ht="14.65" thickBot="1" x14ac:dyDescent="0.5">
      <c r="A19" s="1"/>
      <c r="B19" s="1"/>
      <c r="C19" s="1"/>
    </row>
    <row r="20" spans="1:3" ht="15.75" x14ac:dyDescent="0.5">
      <c r="A20" s="28" t="s">
        <v>13</v>
      </c>
      <c r="B20" s="29"/>
      <c r="C20" s="30"/>
    </row>
    <row r="21" spans="1:3" x14ac:dyDescent="0.45">
      <c r="A21" s="31" t="s">
        <v>14</v>
      </c>
      <c r="B21" s="32"/>
      <c r="C21" s="14">
        <f>SUM(B9:E9)</f>
        <v>22</v>
      </c>
    </row>
    <row r="22" spans="1:3" ht="14.65" thickBot="1" x14ac:dyDescent="0.5">
      <c r="A22" s="33" t="s">
        <v>15</v>
      </c>
      <c r="B22" s="34"/>
      <c r="C22" s="15">
        <f>SUM(B10:E10)</f>
        <v>26</v>
      </c>
    </row>
    <row r="23" spans="1:3" ht="14.65" thickBot="1" x14ac:dyDescent="0.5">
      <c r="A23" s="1"/>
      <c r="B23" s="1"/>
      <c r="C23" s="1"/>
    </row>
    <row r="24" spans="1:3" ht="15.75" x14ac:dyDescent="0.5">
      <c r="A24" s="28" t="s">
        <v>51</v>
      </c>
      <c r="B24" s="29"/>
      <c r="C24" s="30"/>
    </row>
    <row r="25" spans="1:3" x14ac:dyDescent="0.45">
      <c r="A25" s="31" t="s">
        <v>52</v>
      </c>
      <c r="B25" s="32"/>
      <c r="C25" s="14">
        <f>COUNT('Changes Check'!A:A)</f>
        <v>0</v>
      </c>
    </row>
    <row r="26" spans="1:3" ht="14.65" thickBot="1" x14ac:dyDescent="0.5">
      <c r="A26" s="33" t="s">
        <v>56</v>
      </c>
      <c r="B26" s="34"/>
      <c r="C26" s="15">
        <v>1</v>
      </c>
    </row>
    <row r="27" spans="1:3" ht="14.65" thickBot="1" x14ac:dyDescent="0.5">
      <c r="A27" s="33" t="s">
        <v>53</v>
      </c>
      <c r="B27" s="34"/>
      <c r="C27" s="15">
        <v>0</v>
      </c>
    </row>
    <row r="28" spans="1:3" ht="14.65" thickBot="1" x14ac:dyDescent="0.5">
      <c r="A28" s="33" t="s">
        <v>54</v>
      </c>
      <c r="B28" s="34"/>
      <c r="C28" s="15">
        <v>1</v>
      </c>
    </row>
    <row r="29" spans="1:3" ht="14.65" thickBot="1" x14ac:dyDescent="0.5">
      <c r="A29" s="33" t="s">
        <v>55</v>
      </c>
      <c r="B29" s="34"/>
      <c r="C29" s="15">
        <v>2</v>
      </c>
    </row>
  </sheetData>
  <mergeCells count="13">
    <mergeCell ref="A29:B29"/>
    <mergeCell ref="A24:C24"/>
    <mergeCell ref="A25:B25"/>
    <mergeCell ref="A26:B26"/>
    <mergeCell ref="A27:B27"/>
    <mergeCell ref="A28:B28"/>
    <mergeCell ref="A20:C20"/>
    <mergeCell ref="A21:B21"/>
    <mergeCell ref="A22:B22"/>
    <mergeCell ref="A15:C15"/>
    <mergeCell ref="A16:B16"/>
    <mergeCell ref="A17:B17"/>
    <mergeCell ref="A18:B1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F146"/>
  <sheetViews>
    <sheetView topLeftCell="Y1" workbookViewId="0">
      <selection activeCell="AA1" sqref="AA1:AC1048576"/>
    </sheetView>
  </sheetViews>
  <sheetFormatPr defaultColWidth="9.1328125" defaultRowHeight="14.25" x14ac:dyDescent="0.45"/>
  <cols>
    <col min="1" max="1" width="16" bestFit="1" customWidth="1"/>
    <col min="2" max="2" width="37.265625" bestFit="1" customWidth="1"/>
    <col min="3" max="3" width="21.59765625" bestFit="1" customWidth="1"/>
    <col min="4" max="4" width="23.265625" bestFit="1" customWidth="1"/>
    <col min="5" max="5" width="23.1328125" bestFit="1" customWidth="1"/>
    <col min="6" max="6" width="26.86328125" bestFit="1" customWidth="1"/>
    <col min="7" max="7" width="36.1328125" bestFit="1" customWidth="1"/>
    <col min="8" max="8" width="36.265625" bestFit="1" customWidth="1"/>
    <col min="9" max="9" width="25.73046875" bestFit="1" customWidth="1"/>
    <col min="10" max="10" width="24" bestFit="1" customWidth="1"/>
    <col min="11" max="11" width="23.86328125" bestFit="1" customWidth="1"/>
    <col min="12" max="12" width="23" bestFit="1" customWidth="1"/>
    <col min="13" max="13" width="17.86328125" bestFit="1" customWidth="1"/>
    <col min="14" max="14" width="19" bestFit="1" customWidth="1"/>
    <col min="15" max="15" width="16.73046875" bestFit="1" customWidth="1"/>
    <col min="16" max="16" width="9.59765625" bestFit="1" customWidth="1"/>
    <col min="17" max="17" width="13.1328125" bestFit="1" customWidth="1"/>
    <col min="18" max="18" width="18.3984375" bestFit="1" customWidth="1"/>
    <col min="19" max="19" width="8.1328125" bestFit="1" customWidth="1"/>
    <col min="20" max="20" width="30.265625" bestFit="1" customWidth="1"/>
    <col min="21" max="21" width="20.59765625" bestFit="1" customWidth="1"/>
    <col min="22" max="22" width="21" style="23" bestFit="1" customWidth="1"/>
    <col min="23" max="23" width="21" bestFit="1" customWidth="1"/>
    <col min="24" max="24" width="16" bestFit="1" customWidth="1"/>
    <col min="25" max="25" width="19.1328125" bestFit="1" customWidth="1"/>
    <col min="26" max="26" width="17.3984375" bestFit="1" customWidth="1"/>
    <col min="27" max="27" width="11.265625" bestFit="1" customWidth="1"/>
    <col min="28" max="28" width="22.86328125" style="21" bestFit="1" customWidth="1"/>
    <col min="29" max="29" width="7.3984375" bestFit="1" customWidth="1"/>
    <col min="30" max="30" width="16" bestFit="1" customWidth="1"/>
    <col min="31" max="31" width="15" bestFit="1" customWidth="1"/>
    <col min="32" max="32" width="54.3984375" style="24" bestFit="1" customWidth="1"/>
  </cols>
  <sheetData>
    <row r="1" spans="1:32" x14ac:dyDescent="0.45">
      <c r="A1" s="19" t="s">
        <v>17</v>
      </c>
      <c r="B1" s="19" t="s">
        <v>18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19" t="s">
        <v>34</v>
      </c>
      <c r="S1" s="19" t="s">
        <v>45</v>
      </c>
      <c r="T1" s="19" t="s">
        <v>35</v>
      </c>
      <c r="U1" s="19" t="s">
        <v>36</v>
      </c>
      <c r="V1" s="22" t="s">
        <v>37</v>
      </c>
      <c r="W1" s="22" t="s">
        <v>38</v>
      </c>
      <c r="X1" s="19" t="s">
        <v>39</v>
      </c>
      <c r="Y1" s="22" t="s">
        <v>40</v>
      </c>
      <c r="Z1" s="22" t="s">
        <v>41</v>
      </c>
      <c r="AA1" s="22" t="s">
        <v>42</v>
      </c>
      <c r="AB1" s="20" t="s">
        <v>43</v>
      </c>
      <c r="AC1" s="19" t="s">
        <v>44</v>
      </c>
      <c r="AD1" s="19" t="s">
        <v>48</v>
      </c>
      <c r="AE1" s="19" t="s">
        <v>49</v>
      </c>
      <c r="AF1" s="25" t="s">
        <v>46</v>
      </c>
    </row>
    <row r="2" spans="1:32" x14ac:dyDescent="0.45">
      <c r="A2">
        <v>20009858</v>
      </c>
      <c r="B2" t="s">
        <v>1500</v>
      </c>
      <c r="C2" t="s">
        <v>211</v>
      </c>
      <c r="D2" t="s">
        <v>370</v>
      </c>
      <c r="E2" t="s">
        <v>433</v>
      </c>
      <c r="F2" t="s">
        <v>1501</v>
      </c>
      <c r="G2" t="s">
        <v>1154</v>
      </c>
      <c r="H2" t="s">
        <v>1502</v>
      </c>
      <c r="I2" t="s">
        <v>64</v>
      </c>
      <c r="J2" t="s">
        <v>1503</v>
      </c>
      <c r="L2" t="s">
        <v>1504</v>
      </c>
      <c r="O2" t="s">
        <v>80</v>
      </c>
      <c r="P2" t="s">
        <v>1505</v>
      </c>
      <c r="S2">
        <v>15386</v>
      </c>
      <c r="T2" t="s">
        <v>98</v>
      </c>
      <c r="U2" t="s">
        <v>70</v>
      </c>
      <c r="V2" s="23">
        <v>44647</v>
      </c>
      <c r="X2" t="s">
        <v>1506</v>
      </c>
      <c r="Y2" s="23">
        <v>41087</v>
      </c>
      <c r="Z2" s="23">
        <v>44739</v>
      </c>
      <c r="AA2" s="23">
        <v>43770</v>
      </c>
      <c r="AB2" s="21">
        <v>37</v>
      </c>
      <c r="AC2">
        <v>135000</v>
      </c>
      <c r="AD2" t="s">
        <v>71</v>
      </c>
      <c r="AE2" t="s">
        <v>71</v>
      </c>
    </row>
    <row r="3" spans="1:32" x14ac:dyDescent="0.45">
      <c r="A3">
        <v>20001873</v>
      </c>
      <c r="B3" t="s">
        <v>1252</v>
      </c>
      <c r="C3" t="s">
        <v>83</v>
      </c>
      <c r="D3" t="s">
        <v>1253</v>
      </c>
      <c r="E3" t="s">
        <v>0</v>
      </c>
      <c r="F3" t="s">
        <v>415</v>
      </c>
      <c r="G3" t="s">
        <v>416</v>
      </c>
      <c r="H3" t="s">
        <v>638</v>
      </c>
      <c r="I3" t="s">
        <v>64</v>
      </c>
      <c r="J3" t="s">
        <v>332</v>
      </c>
      <c r="L3" t="s">
        <v>1254</v>
      </c>
      <c r="M3" t="s">
        <v>1255</v>
      </c>
      <c r="O3" t="s">
        <v>530</v>
      </c>
      <c r="P3" t="s">
        <v>1256</v>
      </c>
      <c r="S3">
        <v>15386</v>
      </c>
      <c r="T3" t="s">
        <v>98</v>
      </c>
      <c r="U3" t="s">
        <v>70</v>
      </c>
      <c r="V3" s="23">
        <v>44813</v>
      </c>
      <c r="X3" t="s">
        <v>1257</v>
      </c>
      <c r="Y3" s="23">
        <v>41254</v>
      </c>
      <c r="Z3" s="23">
        <v>44906</v>
      </c>
      <c r="AA3" s="23">
        <v>43552</v>
      </c>
      <c r="AB3" s="21">
        <v>37</v>
      </c>
      <c r="AC3">
        <v>42077</v>
      </c>
      <c r="AD3" t="s">
        <v>71</v>
      </c>
      <c r="AE3" t="s">
        <v>71</v>
      </c>
    </row>
    <row r="4" spans="1:32" x14ac:dyDescent="0.45">
      <c r="A4">
        <v>20000978</v>
      </c>
      <c r="B4" t="s">
        <v>1221</v>
      </c>
      <c r="C4" t="s">
        <v>484</v>
      </c>
      <c r="D4" t="s">
        <v>1222</v>
      </c>
      <c r="E4" t="s">
        <v>1</v>
      </c>
      <c r="F4" t="s">
        <v>102</v>
      </c>
      <c r="G4" t="s">
        <v>170</v>
      </c>
      <c r="H4" t="s">
        <v>807</v>
      </c>
      <c r="I4" t="s">
        <v>1223</v>
      </c>
      <c r="J4" t="s">
        <v>281</v>
      </c>
      <c r="K4" t="s">
        <v>77</v>
      </c>
      <c r="L4" t="s">
        <v>1224</v>
      </c>
      <c r="O4" t="s">
        <v>1225</v>
      </c>
      <c r="P4" t="s">
        <v>1226</v>
      </c>
      <c r="S4">
        <v>15386</v>
      </c>
      <c r="T4" t="s">
        <v>98</v>
      </c>
      <c r="U4" t="s">
        <v>70</v>
      </c>
      <c r="V4" s="23">
        <v>45365</v>
      </c>
      <c r="X4" t="s">
        <v>1227</v>
      </c>
      <c r="Y4" s="23">
        <v>43630</v>
      </c>
      <c r="Z4" s="23">
        <v>45457</v>
      </c>
      <c r="AA4" s="23">
        <v>43690</v>
      </c>
      <c r="AB4" s="21">
        <v>40</v>
      </c>
      <c r="AC4">
        <v>22812</v>
      </c>
      <c r="AD4" t="s">
        <v>71</v>
      </c>
      <c r="AE4" t="s">
        <v>71</v>
      </c>
    </row>
    <row r="5" spans="1:32" x14ac:dyDescent="0.45">
      <c r="A5">
        <v>990138</v>
      </c>
      <c r="B5" t="s">
        <v>532</v>
      </c>
      <c r="C5" t="s">
        <v>484</v>
      </c>
      <c r="D5" t="s">
        <v>533</v>
      </c>
      <c r="E5" t="s">
        <v>0</v>
      </c>
      <c r="F5" t="s">
        <v>415</v>
      </c>
      <c r="G5" t="s">
        <v>534</v>
      </c>
      <c r="H5" t="s">
        <v>535</v>
      </c>
      <c r="I5" t="s">
        <v>64</v>
      </c>
      <c r="J5" t="s">
        <v>536</v>
      </c>
      <c r="L5" t="s">
        <v>537</v>
      </c>
      <c r="M5" t="s">
        <v>538</v>
      </c>
      <c r="O5" t="s">
        <v>539</v>
      </c>
      <c r="P5" t="s">
        <v>540</v>
      </c>
      <c r="S5">
        <v>15386</v>
      </c>
      <c r="T5" t="s">
        <v>98</v>
      </c>
      <c r="U5" t="s">
        <v>70</v>
      </c>
      <c r="V5" s="23">
        <v>45565</v>
      </c>
      <c r="X5" t="s">
        <v>541</v>
      </c>
      <c r="Y5" s="23">
        <v>43123</v>
      </c>
      <c r="Z5" s="23">
        <v>45657</v>
      </c>
      <c r="AA5" s="23">
        <v>43283</v>
      </c>
      <c r="AB5" s="21">
        <v>37</v>
      </c>
      <c r="AC5">
        <v>49341</v>
      </c>
      <c r="AD5" t="s">
        <v>71</v>
      </c>
      <c r="AE5" t="s">
        <v>71</v>
      </c>
    </row>
    <row r="6" spans="1:32" x14ac:dyDescent="0.45">
      <c r="A6">
        <v>990150</v>
      </c>
      <c r="B6" t="s">
        <v>545</v>
      </c>
      <c r="C6" t="s">
        <v>153</v>
      </c>
      <c r="D6" t="s">
        <v>546</v>
      </c>
      <c r="E6" t="s">
        <v>0</v>
      </c>
      <c r="F6" t="s">
        <v>415</v>
      </c>
      <c r="G6" t="s">
        <v>534</v>
      </c>
      <c r="H6" t="s">
        <v>547</v>
      </c>
      <c r="I6" t="s">
        <v>64</v>
      </c>
      <c r="J6" t="s">
        <v>548</v>
      </c>
      <c r="L6" t="s">
        <v>549</v>
      </c>
      <c r="O6" t="s">
        <v>550</v>
      </c>
      <c r="P6" t="s">
        <v>551</v>
      </c>
      <c r="Q6">
        <v>1524415373</v>
      </c>
      <c r="S6">
        <v>15386</v>
      </c>
      <c r="T6" t="s">
        <v>98</v>
      </c>
      <c r="U6" t="s">
        <v>70</v>
      </c>
      <c r="V6" s="23">
        <v>45565</v>
      </c>
      <c r="Y6" s="23">
        <v>43494</v>
      </c>
      <c r="Z6" s="23">
        <v>45657</v>
      </c>
      <c r="AA6" s="23">
        <v>43539</v>
      </c>
      <c r="AB6" s="21">
        <v>37</v>
      </c>
      <c r="AC6">
        <v>50731</v>
      </c>
      <c r="AD6" t="s">
        <v>71</v>
      </c>
      <c r="AE6" t="s">
        <v>71</v>
      </c>
    </row>
    <row r="7" spans="1:32" x14ac:dyDescent="0.45">
      <c r="A7">
        <v>990244</v>
      </c>
      <c r="B7" t="s">
        <v>553</v>
      </c>
      <c r="C7" t="s">
        <v>554</v>
      </c>
      <c r="D7" t="s">
        <v>555</v>
      </c>
      <c r="E7" t="s">
        <v>0</v>
      </c>
      <c r="F7" t="s">
        <v>415</v>
      </c>
      <c r="G7" t="s">
        <v>499</v>
      </c>
      <c r="H7" t="s">
        <v>547</v>
      </c>
      <c r="I7" t="s">
        <v>64</v>
      </c>
      <c r="J7" t="s">
        <v>556</v>
      </c>
      <c r="K7" t="s">
        <v>556</v>
      </c>
      <c r="L7" t="s">
        <v>557</v>
      </c>
      <c r="O7" t="s">
        <v>558</v>
      </c>
      <c r="P7" t="s">
        <v>559</v>
      </c>
      <c r="S7">
        <v>15386</v>
      </c>
      <c r="T7" t="s">
        <v>98</v>
      </c>
      <c r="U7" t="s">
        <v>70</v>
      </c>
      <c r="V7" s="23">
        <v>45565</v>
      </c>
      <c r="X7" t="s">
        <v>560</v>
      </c>
      <c r="Y7" s="23">
        <v>43504</v>
      </c>
      <c r="Z7" s="23">
        <v>45657</v>
      </c>
      <c r="AA7" s="23">
        <v>43556</v>
      </c>
      <c r="AB7" s="21">
        <v>37</v>
      </c>
      <c r="AC7">
        <v>49341</v>
      </c>
      <c r="AD7" t="s">
        <v>71</v>
      </c>
      <c r="AE7" t="s">
        <v>71</v>
      </c>
    </row>
    <row r="8" spans="1:32" x14ac:dyDescent="0.45">
      <c r="A8">
        <v>990261</v>
      </c>
      <c r="B8" t="s">
        <v>561</v>
      </c>
      <c r="C8" t="s">
        <v>153</v>
      </c>
      <c r="D8" t="s">
        <v>562</v>
      </c>
      <c r="E8" t="s">
        <v>320</v>
      </c>
      <c r="F8" t="s">
        <v>329</v>
      </c>
      <c r="G8" t="s">
        <v>330</v>
      </c>
      <c r="H8" t="s">
        <v>563</v>
      </c>
      <c r="I8" t="s">
        <v>64</v>
      </c>
      <c r="J8" t="s">
        <v>459</v>
      </c>
      <c r="L8" t="s">
        <v>564</v>
      </c>
      <c r="O8" t="s">
        <v>504</v>
      </c>
      <c r="P8" t="s">
        <v>565</v>
      </c>
      <c r="Q8">
        <v>7479960898</v>
      </c>
      <c r="S8">
        <v>15386</v>
      </c>
      <c r="T8" t="s">
        <v>98</v>
      </c>
      <c r="U8" t="s">
        <v>70</v>
      </c>
      <c r="V8" s="23">
        <v>45565</v>
      </c>
      <c r="X8" t="s">
        <v>566</v>
      </c>
      <c r="Y8" s="23">
        <v>43563</v>
      </c>
      <c r="Z8" s="23">
        <v>45657</v>
      </c>
      <c r="AA8" s="23">
        <v>43565</v>
      </c>
      <c r="AB8" s="21">
        <v>37</v>
      </c>
      <c r="AC8">
        <v>41655</v>
      </c>
      <c r="AD8" t="s">
        <v>71</v>
      </c>
      <c r="AE8" t="s">
        <v>71</v>
      </c>
    </row>
    <row r="9" spans="1:32" x14ac:dyDescent="0.45">
      <c r="A9">
        <v>990498</v>
      </c>
      <c r="B9" t="s">
        <v>578</v>
      </c>
      <c r="C9" t="s">
        <v>90</v>
      </c>
      <c r="D9" t="s">
        <v>579</v>
      </c>
      <c r="E9" t="s">
        <v>1</v>
      </c>
      <c r="F9" t="s">
        <v>102</v>
      </c>
      <c r="G9" t="s">
        <v>147</v>
      </c>
      <c r="H9" t="s">
        <v>104</v>
      </c>
      <c r="I9" t="s">
        <v>130</v>
      </c>
      <c r="J9" t="s">
        <v>131</v>
      </c>
      <c r="L9" t="s">
        <v>580</v>
      </c>
      <c r="M9" t="s">
        <v>581</v>
      </c>
      <c r="O9" t="s">
        <v>133</v>
      </c>
      <c r="P9" t="s">
        <v>582</v>
      </c>
      <c r="Q9" t="s">
        <v>583</v>
      </c>
      <c r="S9">
        <v>15386</v>
      </c>
      <c r="T9" t="s">
        <v>98</v>
      </c>
      <c r="U9" t="s">
        <v>70</v>
      </c>
      <c r="V9" s="23">
        <v>45565</v>
      </c>
      <c r="X9" t="s">
        <v>584</v>
      </c>
      <c r="Y9" s="23">
        <v>43595</v>
      </c>
      <c r="Z9" s="23">
        <v>45657</v>
      </c>
      <c r="AA9" s="23">
        <v>43654</v>
      </c>
      <c r="AB9" s="21">
        <v>37</v>
      </c>
      <c r="AC9">
        <v>25531</v>
      </c>
      <c r="AD9" t="s">
        <v>71</v>
      </c>
      <c r="AE9" t="s">
        <v>71</v>
      </c>
    </row>
    <row r="10" spans="1:32" x14ac:dyDescent="0.45">
      <c r="A10">
        <v>990854</v>
      </c>
      <c r="B10" t="s">
        <v>587</v>
      </c>
      <c r="C10" t="s">
        <v>83</v>
      </c>
      <c r="D10" t="s">
        <v>588</v>
      </c>
      <c r="E10" t="s">
        <v>320</v>
      </c>
      <c r="F10" t="s">
        <v>589</v>
      </c>
      <c r="G10" t="s">
        <v>590</v>
      </c>
      <c r="H10" t="s">
        <v>591</v>
      </c>
      <c r="I10" t="s">
        <v>64</v>
      </c>
      <c r="J10" t="s">
        <v>320</v>
      </c>
      <c r="L10" t="s">
        <v>592</v>
      </c>
      <c r="M10" t="s">
        <v>593</v>
      </c>
      <c r="O10" t="s">
        <v>594</v>
      </c>
      <c r="P10" t="s">
        <v>595</v>
      </c>
      <c r="Q10">
        <v>1823331448</v>
      </c>
      <c r="S10">
        <v>15386</v>
      </c>
      <c r="T10" t="s">
        <v>98</v>
      </c>
      <c r="U10" t="s">
        <v>70</v>
      </c>
      <c r="V10" s="23">
        <v>45565</v>
      </c>
      <c r="X10" t="s">
        <v>596</v>
      </c>
      <c r="Y10" s="23">
        <v>43362</v>
      </c>
      <c r="Z10" s="23">
        <v>45657</v>
      </c>
      <c r="AA10" s="23">
        <v>42976</v>
      </c>
      <c r="AB10" s="21">
        <v>37</v>
      </c>
      <c r="AC10">
        <v>52681</v>
      </c>
      <c r="AD10" t="s">
        <v>71</v>
      </c>
      <c r="AE10" t="s">
        <v>71</v>
      </c>
    </row>
    <row r="11" spans="1:32" x14ac:dyDescent="0.45">
      <c r="A11">
        <v>991114</v>
      </c>
      <c r="B11" t="s">
        <v>601</v>
      </c>
      <c r="C11" t="s">
        <v>602</v>
      </c>
      <c r="D11" t="s">
        <v>603</v>
      </c>
      <c r="E11" t="s">
        <v>1</v>
      </c>
      <c r="F11" t="s">
        <v>604</v>
      </c>
      <c r="G11" t="s">
        <v>605</v>
      </c>
      <c r="H11" t="s">
        <v>606</v>
      </c>
      <c r="I11" t="s">
        <v>64</v>
      </c>
      <c r="J11" t="s">
        <v>65</v>
      </c>
      <c r="L11" t="s">
        <v>607</v>
      </c>
      <c r="M11" t="s">
        <v>608</v>
      </c>
      <c r="O11" t="s">
        <v>80</v>
      </c>
      <c r="P11" t="s">
        <v>609</v>
      </c>
      <c r="S11">
        <v>15386</v>
      </c>
      <c r="T11" t="s">
        <v>98</v>
      </c>
      <c r="U11" t="s">
        <v>70</v>
      </c>
      <c r="V11" s="23">
        <v>45565</v>
      </c>
      <c r="X11" t="s">
        <v>610</v>
      </c>
      <c r="Y11" s="23">
        <v>43637</v>
      </c>
      <c r="Z11" s="23">
        <v>45657</v>
      </c>
      <c r="AA11" s="23">
        <v>43710</v>
      </c>
      <c r="AB11" s="21">
        <v>37</v>
      </c>
      <c r="AC11">
        <v>50000</v>
      </c>
      <c r="AD11" t="s">
        <v>71</v>
      </c>
      <c r="AE11" t="s">
        <v>71</v>
      </c>
    </row>
    <row r="12" spans="1:32" x14ac:dyDescent="0.45">
      <c r="A12">
        <v>991558</v>
      </c>
      <c r="B12" t="s">
        <v>627</v>
      </c>
      <c r="C12" t="s">
        <v>628</v>
      </c>
      <c r="D12" t="s">
        <v>629</v>
      </c>
      <c r="E12" t="s">
        <v>0</v>
      </c>
      <c r="F12" t="s">
        <v>415</v>
      </c>
      <c r="G12" t="s">
        <v>416</v>
      </c>
      <c r="H12" t="s">
        <v>598</v>
      </c>
      <c r="I12" t="s">
        <v>64</v>
      </c>
      <c r="J12" t="s">
        <v>487</v>
      </c>
      <c r="L12" t="s">
        <v>630</v>
      </c>
      <c r="M12" t="s">
        <v>631</v>
      </c>
      <c r="O12" t="s">
        <v>490</v>
      </c>
      <c r="P12" t="s">
        <v>632</v>
      </c>
      <c r="S12">
        <v>15386</v>
      </c>
      <c r="T12" t="s">
        <v>98</v>
      </c>
      <c r="U12" t="s">
        <v>70</v>
      </c>
      <c r="V12" s="23">
        <v>45565</v>
      </c>
      <c r="X12" t="s">
        <v>633</v>
      </c>
      <c r="Y12" s="23">
        <v>43384</v>
      </c>
      <c r="Z12" s="23">
        <v>45657</v>
      </c>
      <c r="AA12" s="23">
        <v>43654</v>
      </c>
      <c r="AB12" s="21">
        <v>37</v>
      </c>
      <c r="AC12">
        <v>48432</v>
      </c>
      <c r="AD12" t="s">
        <v>71</v>
      </c>
      <c r="AE12" t="s">
        <v>71</v>
      </c>
    </row>
    <row r="13" spans="1:32" x14ac:dyDescent="0.45">
      <c r="A13">
        <v>991571</v>
      </c>
      <c r="B13" t="s">
        <v>636</v>
      </c>
      <c r="C13" t="s">
        <v>554</v>
      </c>
      <c r="D13" t="s">
        <v>637</v>
      </c>
      <c r="E13" t="s">
        <v>0</v>
      </c>
      <c r="F13" t="s">
        <v>415</v>
      </c>
      <c r="G13" t="s">
        <v>416</v>
      </c>
      <c r="H13" t="s">
        <v>638</v>
      </c>
      <c r="I13" t="s">
        <v>64</v>
      </c>
      <c r="J13" t="s">
        <v>332</v>
      </c>
      <c r="L13" t="s">
        <v>639</v>
      </c>
      <c r="O13" t="s">
        <v>640</v>
      </c>
      <c r="P13" t="s">
        <v>641</v>
      </c>
      <c r="S13">
        <v>15386</v>
      </c>
      <c r="T13" t="s">
        <v>98</v>
      </c>
      <c r="U13" t="s">
        <v>70</v>
      </c>
      <c r="V13" s="23">
        <v>45565</v>
      </c>
      <c r="X13" t="s">
        <v>642</v>
      </c>
      <c r="Y13" s="23">
        <v>43486</v>
      </c>
      <c r="Z13" s="23">
        <v>45657</v>
      </c>
      <c r="AA13" s="23">
        <v>43685</v>
      </c>
      <c r="AB13" s="21">
        <v>37</v>
      </c>
      <c r="AC13">
        <v>47526</v>
      </c>
      <c r="AD13" t="s">
        <v>71</v>
      </c>
      <c r="AE13" t="s">
        <v>71</v>
      </c>
    </row>
    <row r="14" spans="1:32" x14ac:dyDescent="0.45">
      <c r="A14">
        <v>991576</v>
      </c>
      <c r="B14" t="s">
        <v>644</v>
      </c>
      <c r="C14" t="s">
        <v>192</v>
      </c>
      <c r="D14" t="s">
        <v>645</v>
      </c>
      <c r="E14" t="s">
        <v>0</v>
      </c>
      <c r="F14" t="s">
        <v>415</v>
      </c>
      <c r="G14" t="s">
        <v>416</v>
      </c>
      <c r="H14" t="s">
        <v>646</v>
      </c>
      <c r="I14" t="s">
        <v>64</v>
      </c>
      <c r="J14" t="s">
        <v>332</v>
      </c>
      <c r="L14" t="s">
        <v>647</v>
      </c>
      <c r="O14" t="s">
        <v>530</v>
      </c>
      <c r="P14" t="s">
        <v>648</v>
      </c>
      <c r="S14">
        <v>15386</v>
      </c>
      <c r="T14" t="s">
        <v>98</v>
      </c>
      <c r="U14" t="s">
        <v>70</v>
      </c>
      <c r="V14" s="23">
        <v>45565</v>
      </c>
      <c r="X14" t="s">
        <v>649</v>
      </c>
      <c r="Y14" s="23">
        <v>43482</v>
      </c>
      <c r="Z14" s="23">
        <v>45657</v>
      </c>
      <c r="AA14" s="23">
        <v>43707</v>
      </c>
      <c r="AB14" s="21">
        <v>37</v>
      </c>
      <c r="AC14">
        <v>39347</v>
      </c>
      <c r="AD14" t="s">
        <v>71</v>
      </c>
      <c r="AE14" t="s">
        <v>71</v>
      </c>
    </row>
    <row r="15" spans="1:32" x14ac:dyDescent="0.45">
      <c r="A15">
        <v>991577</v>
      </c>
      <c r="B15" t="s">
        <v>652</v>
      </c>
      <c r="C15" t="s">
        <v>153</v>
      </c>
      <c r="D15" t="s">
        <v>485</v>
      </c>
      <c r="E15" t="s">
        <v>0</v>
      </c>
      <c r="F15" t="s">
        <v>415</v>
      </c>
      <c r="G15" t="s">
        <v>416</v>
      </c>
      <c r="H15" t="s">
        <v>653</v>
      </c>
      <c r="I15" t="s">
        <v>64</v>
      </c>
      <c r="J15" t="s">
        <v>487</v>
      </c>
      <c r="L15" t="s">
        <v>654</v>
      </c>
      <c r="M15" t="s">
        <v>655</v>
      </c>
      <c r="N15" t="s">
        <v>656</v>
      </c>
      <c r="O15" t="s">
        <v>490</v>
      </c>
      <c r="P15" t="s">
        <v>657</v>
      </c>
      <c r="S15">
        <v>15386</v>
      </c>
      <c r="T15" t="s">
        <v>98</v>
      </c>
      <c r="U15" t="s">
        <v>70</v>
      </c>
      <c r="V15" s="23">
        <v>45565</v>
      </c>
      <c r="X15" t="s">
        <v>658</v>
      </c>
      <c r="Y15" s="23">
        <v>43479</v>
      </c>
      <c r="Z15" s="23">
        <v>45657</v>
      </c>
      <c r="AA15" s="23">
        <v>43705</v>
      </c>
      <c r="AB15" s="21">
        <v>37</v>
      </c>
      <c r="AC15">
        <v>41167</v>
      </c>
      <c r="AD15" t="s">
        <v>71</v>
      </c>
      <c r="AE15" t="s">
        <v>71</v>
      </c>
    </row>
    <row r="16" spans="1:32" x14ac:dyDescent="0.45">
      <c r="A16">
        <v>991894</v>
      </c>
      <c r="B16" t="s">
        <v>690</v>
      </c>
      <c r="C16" t="s">
        <v>153</v>
      </c>
      <c r="D16" t="s">
        <v>691</v>
      </c>
      <c r="E16" t="s">
        <v>1</v>
      </c>
      <c r="F16" t="s">
        <v>102</v>
      </c>
      <c r="G16" t="s">
        <v>147</v>
      </c>
      <c r="H16" t="s">
        <v>692</v>
      </c>
      <c r="I16" t="s">
        <v>130</v>
      </c>
      <c r="J16" t="s">
        <v>131</v>
      </c>
      <c r="L16" t="s">
        <v>693</v>
      </c>
      <c r="O16" t="s">
        <v>133</v>
      </c>
      <c r="P16" t="s">
        <v>694</v>
      </c>
      <c r="S16">
        <v>15386</v>
      </c>
      <c r="T16" t="s">
        <v>98</v>
      </c>
      <c r="U16" t="s">
        <v>70</v>
      </c>
      <c r="V16" s="23">
        <v>45565</v>
      </c>
      <c r="X16" t="s">
        <v>695</v>
      </c>
      <c r="Y16" s="23">
        <v>43582</v>
      </c>
      <c r="Z16" s="23">
        <v>45657</v>
      </c>
      <c r="AA16" s="23">
        <v>43654</v>
      </c>
      <c r="AB16" s="21">
        <v>37</v>
      </c>
      <c r="AC16">
        <v>25919</v>
      </c>
      <c r="AD16" t="s">
        <v>71</v>
      </c>
      <c r="AE16" t="s">
        <v>71</v>
      </c>
    </row>
    <row r="17" spans="1:31" x14ac:dyDescent="0.45">
      <c r="A17">
        <v>991978</v>
      </c>
      <c r="B17" t="s">
        <v>704</v>
      </c>
      <c r="C17" t="s">
        <v>484</v>
      </c>
      <c r="D17" t="s">
        <v>705</v>
      </c>
      <c r="E17" t="s">
        <v>1</v>
      </c>
      <c r="F17" t="s">
        <v>74</v>
      </c>
      <c r="G17" t="s">
        <v>706</v>
      </c>
      <c r="H17" t="s">
        <v>707</v>
      </c>
      <c r="I17" t="s">
        <v>64</v>
      </c>
      <c r="J17" t="s">
        <v>65</v>
      </c>
      <c r="L17" t="s">
        <v>708</v>
      </c>
      <c r="M17" t="s">
        <v>709</v>
      </c>
      <c r="N17" t="s">
        <v>710</v>
      </c>
      <c r="O17" t="s">
        <v>80</v>
      </c>
      <c r="P17" t="s">
        <v>711</v>
      </c>
      <c r="S17">
        <v>15386</v>
      </c>
      <c r="T17" t="s">
        <v>98</v>
      </c>
      <c r="U17" t="s">
        <v>70</v>
      </c>
      <c r="V17" s="23">
        <v>45565</v>
      </c>
      <c r="X17" t="s">
        <v>712</v>
      </c>
      <c r="Y17" s="23">
        <v>43467</v>
      </c>
      <c r="Z17" s="23">
        <v>45657</v>
      </c>
      <c r="AA17" s="23">
        <v>43693</v>
      </c>
      <c r="AB17" s="21">
        <v>37</v>
      </c>
      <c r="AC17">
        <v>48058</v>
      </c>
      <c r="AD17" t="s">
        <v>71</v>
      </c>
      <c r="AE17" t="s">
        <v>71</v>
      </c>
    </row>
    <row r="18" spans="1:31" x14ac:dyDescent="0.45">
      <c r="A18">
        <v>992944</v>
      </c>
      <c r="B18" t="s">
        <v>741</v>
      </c>
      <c r="C18" t="s">
        <v>192</v>
      </c>
      <c r="D18" t="s">
        <v>742</v>
      </c>
      <c r="E18" t="s">
        <v>1</v>
      </c>
      <c r="F18" t="s">
        <v>604</v>
      </c>
      <c r="G18" t="s">
        <v>743</v>
      </c>
      <c r="H18" t="s">
        <v>436</v>
      </c>
      <c r="I18" t="s">
        <v>64</v>
      </c>
      <c r="J18" t="s">
        <v>65</v>
      </c>
      <c r="K18" t="s">
        <v>437</v>
      </c>
      <c r="L18" t="s">
        <v>744</v>
      </c>
      <c r="M18" t="s">
        <v>745</v>
      </c>
      <c r="O18" t="s">
        <v>80</v>
      </c>
      <c r="P18" t="s">
        <v>746</v>
      </c>
      <c r="S18">
        <v>15386</v>
      </c>
      <c r="T18" t="s">
        <v>98</v>
      </c>
      <c r="U18" t="s">
        <v>70</v>
      </c>
      <c r="V18" s="23">
        <v>45565</v>
      </c>
      <c r="X18" t="s">
        <v>747</v>
      </c>
      <c r="Y18" s="23">
        <v>43600</v>
      </c>
      <c r="Z18" s="23">
        <v>45657</v>
      </c>
      <c r="AA18" s="23">
        <v>43693</v>
      </c>
      <c r="AB18" s="21">
        <v>37</v>
      </c>
      <c r="AC18">
        <v>49000</v>
      </c>
      <c r="AD18" t="s">
        <v>71</v>
      </c>
      <c r="AE18" t="s">
        <v>71</v>
      </c>
    </row>
    <row r="19" spans="1:31" x14ac:dyDescent="0.45">
      <c r="A19">
        <v>993306</v>
      </c>
      <c r="B19" t="s">
        <v>763</v>
      </c>
      <c r="C19" t="s">
        <v>312</v>
      </c>
      <c r="D19" t="s">
        <v>764</v>
      </c>
      <c r="E19" t="s">
        <v>1</v>
      </c>
      <c r="F19" t="s">
        <v>509</v>
      </c>
      <c r="G19" t="s">
        <v>765</v>
      </c>
      <c r="H19" t="s">
        <v>766</v>
      </c>
      <c r="I19" t="s">
        <v>64</v>
      </c>
      <c r="J19" t="s">
        <v>105</v>
      </c>
      <c r="L19" t="s">
        <v>767</v>
      </c>
      <c r="O19" t="s">
        <v>122</v>
      </c>
      <c r="P19" t="s">
        <v>768</v>
      </c>
      <c r="S19">
        <v>15386</v>
      </c>
      <c r="T19" t="s">
        <v>98</v>
      </c>
      <c r="U19" t="s">
        <v>70</v>
      </c>
      <c r="V19" s="23">
        <v>45565</v>
      </c>
      <c r="X19" t="s">
        <v>769</v>
      </c>
      <c r="Y19" s="23">
        <v>43297</v>
      </c>
      <c r="Z19" s="23">
        <v>45657</v>
      </c>
      <c r="AA19" s="23">
        <v>43301</v>
      </c>
      <c r="AB19" s="21">
        <v>37</v>
      </c>
      <c r="AC19">
        <v>26639</v>
      </c>
      <c r="AD19" t="s">
        <v>71</v>
      </c>
      <c r="AE19" t="s">
        <v>71</v>
      </c>
    </row>
    <row r="20" spans="1:31" x14ac:dyDescent="0.45">
      <c r="A20">
        <v>994882</v>
      </c>
      <c r="B20" t="s">
        <v>831</v>
      </c>
      <c r="C20" t="s">
        <v>662</v>
      </c>
      <c r="D20" t="s">
        <v>832</v>
      </c>
      <c r="E20" t="s">
        <v>294</v>
      </c>
      <c r="F20" t="s">
        <v>833</v>
      </c>
      <c r="G20" t="s">
        <v>834</v>
      </c>
      <c r="H20" t="s">
        <v>835</v>
      </c>
      <c r="I20" t="s">
        <v>64</v>
      </c>
      <c r="J20" t="s">
        <v>332</v>
      </c>
      <c r="L20" t="s">
        <v>836</v>
      </c>
      <c r="M20" t="s">
        <v>837</v>
      </c>
      <c r="N20" t="s">
        <v>838</v>
      </c>
      <c r="O20" t="s">
        <v>530</v>
      </c>
      <c r="P20" t="s">
        <v>839</v>
      </c>
      <c r="S20">
        <v>15386</v>
      </c>
      <c r="T20" t="s">
        <v>98</v>
      </c>
      <c r="U20" t="s">
        <v>70</v>
      </c>
      <c r="V20" s="23">
        <v>45565</v>
      </c>
      <c r="X20" t="s">
        <v>840</v>
      </c>
      <c r="Y20" s="23">
        <v>43444</v>
      </c>
      <c r="Z20" s="23">
        <v>45657</v>
      </c>
      <c r="AA20" s="23">
        <v>43514</v>
      </c>
      <c r="AB20" s="21">
        <v>37</v>
      </c>
      <c r="AC20">
        <v>57053</v>
      </c>
      <c r="AD20" t="s">
        <v>71</v>
      </c>
      <c r="AE20" t="s">
        <v>71</v>
      </c>
    </row>
    <row r="21" spans="1:31" x14ac:dyDescent="0.45">
      <c r="A21">
        <v>996177</v>
      </c>
      <c r="B21" t="s">
        <v>876</v>
      </c>
      <c r="C21" t="s">
        <v>877</v>
      </c>
      <c r="D21" t="s">
        <v>878</v>
      </c>
      <c r="E21" t="s">
        <v>320</v>
      </c>
      <c r="F21" t="s">
        <v>363</v>
      </c>
      <c r="G21" t="s">
        <v>879</v>
      </c>
      <c r="H21" t="s">
        <v>598</v>
      </c>
      <c r="I21" t="s">
        <v>64</v>
      </c>
      <c r="J21" t="s">
        <v>320</v>
      </c>
      <c r="L21" t="s">
        <v>880</v>
      </c>
      <c r="M21" t="s">
        <v>881</v>
      </c>
      <c r="O21" t="s">
        <v>850</v>
      </c>
      <c r="P21" t="s">
        <v>882</v>
      </c>
      <c r="S21">
        <v>15386</v>
      </c>
      <c r="T21" t="s">
        <v>98</v>
      </c>
      <c r="U21" t="s">
        <v>70</v>
      </c>
      <c r="V21" s="23">
        <v>45565</v>
      </c>
      <c r="X21" t="s">
        <v>883</v>
      </c>
      <c r="Y21" s="23">
        <v>43571</v>
      </c>
      <c r="Z21" s="23">
        <v>45657</v>
      </c>
      <c r="AA21" s="23">
        <v>43654</v>
      </c>
      <c r="AB21" s="21">
        <v>37</v>
      </c>
      <c r="AC21">
        <v>35784</v>
      </c>
      <c r="AD21" t="s">
        <v>71</v>
      </c>
      <c r="AE21" t="s">
        <v>71</v>
      </c>
    </row>
    <row r="22" spans="1:31" x14ac:dyDescent="0.45">
      <c r="A22">
        <v>10050177</v>
      </c>
      <c r="B22" t="s">
        <v>1166</v>
      </c>
      <c r="C22" t="s">
        <v>554</v>
      </c>
      <c r="D22" t="s">
        <v>1167</v>
      </c>
      <c r="E22" t="s">
        <v>0</v>
      </c>
      <c r="F22" t="s">
        <v>415</v>
      </c>
      <c r="G22" t="s">
        <v>416</v>
      </c>
      <c r="H22" t="s">
        <v>1168</v>
      </c>
      <c r="I22" t="s">
        <v>64</v>
      </c>
      <c r="J22" t="s">
        <v>332</v>
      </c>
      <c r="L22" t="s">
        <v>1169</v>
      </c>
      <c r="M22" t="s">
        <v>332</v>
      </c>
      <c r="O22" t="s">
        <v>530</v>
      </c>
      <c r="P22" t="s">
        <v>1170</v>
      </c>
      <c r="S22">
        <v>15386</v>
      </c>
      <c r="T22" t="s">
        <v>98</v>
      </c>
      <c r="U22" t="s">
        <v>70</v>
      </c>
      <c r="V22" s="23">
        <v>45565</v>
      </c>
      <c r="X22" t="s">
        <v>1171</v>
      </c>
      <c r="Y22" s="23">
        <v>42885</v>
      </c>
      <c r="Z22" s="23">
        <v>45657</v>
      </c>
      <c r="AA22" s="23">
        <v>43035</v>
      </c>
      <c r="AB22" s="21">
        <v>37</v>
      </c>
      <c r="AC22">
        <v>55470</v>
      </c>
      <c r="AD22" t="s">
        <v>71</v>
      </c>
      <c r="AE22" t="s">
        <v>71</v>
      </c>
    </row>
    <row r="23" spans="1:31" x14ac:dyDescent="0.45">
      <c r="A23">
        <v>10050644</v>
      </c>
      <c r="B23" t="s">
        <v>1181</v>
      </c>
      <c r="C23" t="s">
        <v>83</v>
      </c>
      <c r="D23" t="s">
        <v>1182</v>
      </c>
      <c r="E23" t="s">
        <v>0</v>
      </c>
      <c r="F23" t="s">
        <v>415</v>
      </c>
      <c r="G23" t="s">
        <v>534</v>
      </c>
      <c r="H23" t="s">
        <v>1183</v>
      </c>
      <c r="I23" t="s">
        <v>64</v>
      </c>
      <c r="J23" t="s">
        <v>775</v>
      </c>
      <c r="L23" t="s">
        <v>1184</v>
      </c>
      <c r="O23" t="s">
        <v>944</v>
      </c>
      <c r="P23" t="s">
        <v>1185</v>
      </c>
      <c r="S23">
        <v>15386</v>
      </c>
      <c r="T23" t="s">
        <v>98</v>
      </c>
      <c r="U23" t="s">
        <v>70</v>
      </c>
      <c r="V23" s="23">
        <v>45565</v>
      </c>
      <c r="X23" t="s">
        <v>1186</v>
      </c>
      <c r="Y23" s="23">
        <v>43109</v>
      </c>
      <c r="Z23" s="23">
        <v>45657</v>
      </c>
      <c r="AA23" s="23">
        <v>43117</v>
      </c>
      <c r="AB23" s="21">
        <v>37</v>
      </c>
      <c r="AC23">
        <v>48432</v>
      </c>
      <c r="AD23" t="s">
        <v>71</v>
      </c>
      <c r="AE23" t="s">
        <v>71</v>
      </c>
    </row>
    <row r="24" spans="1:31" x14ac:dyDescent="0.45">
      <c r="A24">
        <v>10051708</v>
      </c>
      <c r="B24" t="s">
        <v>1199</v>
      </c>
      <c r="C24" t="s">
        <v>58</v>
      </c>
      <c r="D24" t="s">
        <v>1012</v>
      </c>
      <c r="E24" t="s">
        <v>0</v>
      </c>
      <c r="F24" t="s">
        <v>415</v>
      </c>
      <c r="G24" t="s">
        <v>416</v>
      </c>
      <c r="H24" t="s">
        <v>1013</v>
      </c>
      <c r="I24" t="s">
        <v>64</v>
      </c>
      <c r="J24" t="s">
        <v>332</v>
      </c>
      <c r="L24" t="s">
        <v>1200</v>
      </c>
      <c r="M24" t="s">
        <v>1201</v>
      </c>
      <c r="N24" t="s">
        <v>1202</v>
      </c>
      <c r="O24" t="s">
        <v>850</v>
      </c>
      <c r="P24" t="s">
        <v>1203</v>
      </c>
      <c r="S24">
        <v>15386</v>
      </c>
      <c r="T24" t="s">
        <v>98</v>
      </c>
      <c r="U24" t="s">
        <v>70</v>
      </c>
      <c r="V24" s="23">
        <v>45565</v>
      </c>
      <c r="X24" t="s">
        <v>1204</v>
      </c>
      <c r="Y24" s="23">
        <v>42986</v>
      </c>
      <c r="Z24" s="23">
        <v>45657</v>
      </c>
      <c r="AA24" s="23">
        <v>42996</v>
      </c>
      <c r="AB24" s="21">
        <v>37</v>
      </c>
      <c r="AC24">
        <v>52067</v>
      </c>
      <c r="AD24" t="s">
        <v>71</v>
      </c>
      <c r="AE24" t="s">
        <v>71</v>
      </c>
    </row>
    <row r="25" spans="1:31" x14ac:dyDescent="0.45">
      <c r="A25">
        <v>20000193</v>
      </c>
      <c r="B25" t="s">
        <v>1215</v>
      </c>
      <c r="C25" t="s">
        <v>399</v>
      </c>
      <c r="D25" t="s">
        <v>1216</v>
      </c>
      <c r="E25" t="s">
        <v>294</v>
      </c>
      <c r="F25" t="s">
        <v>295</v>
      </c>
      <c r="G25" t="s">
        <v>1217</v>
      </c>
      <c r="H25" t="s">
        <v>1218</v>
      </c>
      <c r="I25" t="s">
        <v>64</v>
      </c>
      <c r="J25" t="s">
        <v>65</v>
      </c>
      <c r="L25" t="s">
        <v>1219</v>
      </c>
      <c r="O25" t="s">
        <v>80</v>
      </c>
      <c r="P25" t="s">
        <v>1220</v>
      </c>
      <c r="S25">
        <v>15386</v>
      </c>
      <c r="T25" t="s">
        <v>98</v>
      </c>
      <c r="U25" t="s">
        <v>70</v>
      </c>
      <c r="V25" s="23">
        <v>45565</v>
      </c>
      <c r="Y25" s="23">
        <v>42756</v>
      </c>
      <c r="Z25" s="23">
        <v>45657</v>
      </c>
      <c r="AA25" s="23">
        <v>43039</v>
      </c>
      <c r="AB25" s="21">
        <v>37</v>
      </c>
      <c r="AC25">
        <v>61647</v>
      </c>
      <c r="AD25" t="s">
        <v>71</v>
      </c>
      <c r="AE25" t="s">
        <v>71</v>
      </c>
    </row>
    <row r="26" spans="1:31" x14ac:dyDescent="0.45">
      <c r="A26">
        <v>20006688</v>
      </c>
      <c r="B26" t="s">
        <v>1362</v>
      </c>
      <c r="C26" t="s">
        <v>1363</v>
      </c>
      <c r="D26" t="s">
        <v>1364</v>
      </c>
      <c r="E26" t="s">
        <v>467</v>
      </c>
      <c r="F26" t="s">
        <v>468</v>
      </c>
      <c r="G26" t="s">
        <v>1365</v>
      </c>
      <c r="H26" t="s">
        <v>1366</v>
      </c>
      <c r="I26" t="s">
        <v>64</v>
      </c>
      <c r="J26" t="s">
        <v>65</v>
      </c>
      <c r="L26">
        <v>45</v>
      </c>
      <c r="M26" t="s">
        <v>1367</v>
      </c>
      <c r="O26" t="s">
        <v>80</v>
      </c>
      <c r="P26" t="s">
        <v>1368</v>
      </c>
      <c r="S26">
        <v>15386</v>
      </c>
      <c r="T26" t="s">
        <v>98</v>
      </c>
      <c r="U26" t="s">
        <v>70</v>
      </c>
      <c r="V26" s="23">
        <v>45565</v>
      </c>
      <c r="X26" t="s">
        <v>1369</v>
      </c>
      <c r="Y26" s="23">
        <v>43704</v>
      </c>
      <c r="Z26" s="23">
        <v>45657</v>
      </c>
      <c r="AA26" s="23">
        <v>43719</v>
      </c>
      <c r="AB26" s="21">
        <v>37</v>
      </c>
      <c r="AC26">
        <v>65000</v>
      </c>
      <c r="AD26" t="s">
        <v>71</v>
      </c>
      <c r="AE26" t="s">
        <v>71</v>
      </c>
    </row>
    <row r="27" spans="1:31" x14ac:dyDescent="0.45">
      <c r="A27">
        <v>20007384</v>
      </c>
      <c r="B27" t="s">
        <v>1378</v>
      </c>
      <c r="C27" t="s">
        <v>192</v>
      </c>
      <c r="D27" t="s">
        <v>562</v>
      </c>
      <c r="E27" t="s">
        <v>320</v>
      </c>
      <c r="F27" t="s">
        <v>329</v>
      </c>
      <c r="G27" t="s">
        <v>330</v>
      </c>
      <c r="H27" t="s">
        <v>1142</v>
      </c>
      <c r="I27" t="s">
        <v>64</v>
      </c>
      <c r="J27" t="s">
        <v>459</v>
      </c>
      <c r="L27" t="s">
        <v>1379</v>
      </c>
      <c r="M27" t="s">
        <v>1380</v>
      </c>
      <c r="O27" t="s">
        <v>850</v>
      </c>
      <c r="P27" t="s">
        <v>1381</v>
      </c>
      <c r="S27">
        <v>15386</v>
      </c>
      <c r="T27" t="s">
        <v>98</v>
      </c>
      <c r="U27" t="s">
        <v>70</v>
      </c>
      <c r="V27" s="23">
        <v>45565</v>
      </c>
      <c r="X27" t="s">
        <v>1382</v>
      </c>
      <c r="Y27" s="23">
        <v>43005</v>
      </c>
      <c r="Z27" s="23">
        <v>45657</v>
      </c>
      <c r="AA27" s="23">
        <v>43728</v>
      </c>
      <c r="AB27" s="21">
        <v>37</v>
      </c>
      <c r="AC27">
        <v>45000</v>
      </c>
      <c r="AD27" t="s">
        <v>71</v>
      </c>
      <c r="AE27" t="s">
        <v>71</v>
      </c>
    </row>
    <row r="28" spans="1:31" x14ac:dyDescent="0.45">
      <c r="A28">
        <v>20007803</v>
      </c>
      <c r="B28" t="s">
        <v>1383</v>
      </c>
      <c r="C28" t="s">
        <v>192</v>
      </c>
      <c r="D28" t="s">
        <v>1384</v>
      </c>
      <c r="E28" t="s">
        <v>294</v>
      </c>
      <c r="F28" t="s">
        <v>1385</v>
      </c>
      <c r="G28" t="s">
        <v>1386</v>
      </c>
      <c r="H28" t="s">
        <v>1387</v>
      </c>
      <c r="I28" t="s">
        <v>64</v>
      </c>
      <c r="J28" t="s">
        <v>114</v>
      </c>
      <c r="L28" t="s">
        <v>1388</v>
      </c>
      <c r="O28" t="s">
        <v>80</v>
      </c>
      <c r="P28" t="s">
        <v>1389</v>
      </c>
      <c r="S28">
        <v>15386</v>
      </c>
      <c r="T28" t="s">
        <v>98</v>
      </c>
      <c r="U28" t="s">
        <v>70</v>
      </c>
      <c r="V28" s="23">
        <v>45565</v>
      </c>
      <c r="X28" t="s">
        <v>1390</v>
      </c>
      <c r="Y28" s="23">
        <v>43482</v>
      </c>
      <c r="Z28" s="23">
        <v>45657</v>
      </c>
      <c r="AA28" s="23">
        <v>43728</v>
      </c>
      <c r="AB28" s="21">
        <v>37</v>
      </c>
      <c r="AC28">
        <v>46000</v>
      </c>
      <c r="AD28" t="s">
        <v>71</v>
      </c>
      <c r="AE28" t="s">
        <v>71</v>
      </c>
    </row>
    <row r="29" spans="1:31" x14ac:dyDescent="0.45">
      <c r="A29">
        <v>20008707</v>
      </c>
      <c r="B29" t="s">
        <v>1428</v>
      </c>
      <c r="C29" t="s">
        <v>211</v>
      </c>
      <c r="D29" t="s">
        <v>1429</v>
      </c>
      <c r="E29" t="s">
        <v>320</v>
      </c>
      <c r="F29" t="s">
        <v>363</v>
      </c>
      <c r="G29" t="s">
        <v>879</v>
      </c>
      <c r="H29" t="s">
        <v>1430</v>
      </c>
      <c r="I29" t="s">
        <v>64</v>
      </c>
      <c r="J29" t="s">
        <v>359</v>
      </c>
      <c r="L29" t="s">
        <v>847</v>
      </c>
      <c r="M29" t="s">
        <v>1431</v>
      </c>
      <c r="O29" t="s">
        <v>850</v>
      </c>
      <c r="P29" t="s">
        <v>1432</v>
      </c>
      <c r="S29">
        <v>15386</v>
      </c>
      <c r="T29" t="s">
        <v>98</v>
      </c>
      <c r="U29" t="s">
        <v>70</v>
      </c>
      <c r="V29" s="23">
        <v>45565</v>
      </c>
      <c r="X29" t="s">
        <v>1433</v>
      </c>
      <c r="Y29" s="23">
        <v>43482</v>
      </c>
      <c r="Z29" s="23">
        <v>45657</v>
      </c>
      <c r="AA29" s="23">
        <v>43728</v>
      </c>
      <c r="AB29" s="21">
        <v>37</v>
      </c>
      <c r="AC29">
        <v>53000</v>
      </c>
      <c r="AD29" t="s">
        <v>71</v>
      </c>
      <c r="AE29" t="s">
        <v>71</v>
      </c>
    </row>
    <row r="30" spans="1:31" x14ac:dyDescent="0.45">
      <c r="A30">
        <v>20009412</v>
      </c>
      <c r="B30" t="s">
        <v>1489</v>
      </c>
      <c r="C30" t="s">
        <v>211</v>
      </c>
      <c r="D30" t="s">
        <v>1490</v>
      </c>
      <c r="E30" t="s">
        <v>1</v>
      </c>
      <c r="F30" t="s">
        <v>102</v>
      </c>
      <c r="G30" t="s">
        <v>103</v>
      </c>
      <c r="H30" t="s">
        <v>104</v>
      </c>
      <c r="I30" t="s">
        <v>64</v>
      </c>
      <c r="J30" t="s">
        <v>156</v>
      </c>
      <c r="L30" t="s">
        <v>1491</v>
      </c>
      <c r="O30" t="s">
        <v>1492</v>
      </c>
      <c r="P30" t="s">
        <v>1493</v>
      </c>
      <c r="S30">
        <v>15386</v>
      </c>
      <c r="T30" t="s">
        <v>98</v>
      </c>
      <c r="U30" t="s">
        <v>70</v>
      </c>
      <c r="V30" s="23">
        <v>45565</v>
      </c>
      <c r="X30" t="s">
        <v>1494</v>
      </c>
      <c r="Y30" s="23">
        <v>43677</v>
      </c>
      <c r="Z30" s="23">
        <v>45657</v>
      </c>
      <c r="AA30" s="23">
        <v>43733</v>
      </c>
      <c r="AB30" s="21">
        <v>37</v>
      </c>
      <c r="AC30">
        <v>17350</v>
      </c>
      <c r="AD30" t="s">
        <v>71</v>
      </c>
      <c r="AE30" t="s">
        <v>71</v>
      </c>
    </row>
    <row r="31" spans="1:31" x14ac:dyDescent="0.45">
      <c r="A31">
        <v>967493</v>
      </c>
      <c r="B31" t="s">
        <v>57</v>
      </c>
      <c r="C31" t="s">
        <v>58</v>
      </c>
      <c r="D31" t="s">
        <v>59</v>
      </c>
      <c r="E31" t="s">
        <v>60</v>
      </c>
      <c r="F31" t="s">
        <v>61</v>
      </c>
      <c r="G31" t="s">
        <v>62</v>
      </c>
      <c r="H31" t="s">
        <v>63</v>
      </c>
      <c r="I31" t="s">
        <v>64</v>
      </c>
      <c r="J31" t="s">
        <v>65</v>
      </c>
      <c r="L31" t="s">
        <v>66</v>
      </c>
      <c r="O31" t="s">
        <v>67</v>
      </c>
      <c r="P31" t="s">
        <v>68</v>
      </c>
      <c r="S31">
        <v>15385</v>
      </c>
      <c r="T31" t="s">
        <v>69</v>
      </c>
      <c r="U31" t="s">
        <v>70</v>
      </c>
      <c r="W31" s="23">
        <v>18629</v>
      </c>
      <c r="X31">
        <v>504027773</v>
      </c>
      <c r="Y31" s="23">
        <v>18629</v>
      </c>
      <c r="Z31" s="23">
        <v>2958465</v>
      </c>
      <c r="AA31" s="23">
        <v>42976</v>
      </c>
      <c r="AB31" s="21">
        <v>37</v>
      </c>
      <c r="AC31">
        <v>41209</v>
      </c>
      <c r="AD31" t="s">
        <v>71</v>
      </c>
      <c r="AE31" t="s">
        <v>71</v>
      </c>
    </row>
    <row r="32" spans="1:31" x14ac:dyDescent="0.45">
      <c r="A32">
        <v>967512</v>
      </c>
      <c r="B32" t="s">
        <v>72</v>
      </c>
      <c r="C32" t="s">
        <v>58</v>
      </c>
      <c r="D32" t="s">
        <v>73</v>
      </c>
      <c r="E32" t="s">
        <v>1</v>
      </c>
      <c r="F32" t="s">
        <v>74</v>
      </c>
      <c r="G32" t="s">
        <v>75</v>
      </c>
      <c r="H32" t="s">
        <v>76</v>
      </c>
      <c r="I32" t="s">
        <v>64</v>
      </c>
      <c r="J32" t="s">
        <v>77</v>
      </c>
      <c r="L32" t="s">
        <v>78</v>
      </c>
      <c r="M32" t="s">
        <v>79</v>
      </c>
      <c r="O32" t="s">
        <v>80</v>
      </c>
      <c r="P32" t="s">
        <v>81</v>
      </c>
      <c r="S32">
        <v>15385</v>
      </c>
      <c r="T32" t="s">
        <v>69</v>
      </c>
      <c r="U32" t="s">
        <v>70</v>
      </c>
      <c r="W32" s="23">
        <v>18629</v>
      </c>
      <c r="Y32" s="23">
        <v>40015</v>
      </c>
      <c r="Z32" s="23">
        <v>2958465</v>
      </c>
      <c r="AA32" s="23">
        <v>42976</v>
      </c>
      <c r="AB32" s="21">
        <v>37</v>
      </c>
      <c r="AC32">
        <v>29980</v>
      </c>
      <c r="AD32" t="s">
        <v>71</v>
      </c>
      <c r="AE32" t="s">
        <v>71</v>
      </c>
    </row>
    <row r="33" spans="1:31" x14ac:dyDescent="0.45">
      <c r="A33">
        <v>967513</v>
      </c>
      <c r="B33" t="s">
        <v>82</v>
      </c>
      <c r="C33" t="s">
        <v>83</v>
      </c>
      <c r="D33" t="s">
        <v>84</v>
      </c>
      <c r="E33" t="s">
        <v>1</v>
      </c>
      <c r="F33" t="s">
        <v>74</v>
      </c>
      <c r="G33" t="s">
        <v>75</v>
      </c>
      <c r="H33" t="s">
        <v>85</v>
      </c>
      <c r="I33" t="s">
        <v>64</v>
      </c>
      <c r="J33" t="s">
        <v>77</v>
      </c>
      <c r="L33" t="s">
        <v>86</v>
      </c>
      <c r="O33" t="s">
        <v>87</v>
      </c>
      <c r="P33" t="s">
        <v>88</v>
      </c>
      <c r="Q33">
        <v>1622435347</v>
      </c>
      <c r="S33">
        <v>15385</v>
      </c>
      <c r="T33" t="s">
        <v>69</v>
      </c>
      <c r="U33" t="s">
        <v>70</v>
      </c>
      <c r="W33" s="23">
        <v>18629</v>
      </c>
      <c r="Y33" s="23">
        <v>18629</v>
      </c>
      <c r="Z33" s="23">
        <v>2958465</v>
      </c>
      <c r="AA33" s="23">
        <v>42976</v>
      </c>
      <c r="AB33" s="21">
        <v>37</v>
      </c>
      <c r="AC33">
        <v>36791</v>
      </c>
      <c r="AD33" t="s">
        <v>71</v>
      </c>
      <c r="AE33" t="s">
        <v>71</v>
      </c>
    </row>
    <row r="34" spans="1:31" x14ac:dyDescent="0.45">
      <c r="A34">
        <v>968186</v>
      </c>
      <c r="B34" t="s">
        <v>89</v>
      </c>
      <c r="C34" t="s">
        <v>90</v>
      </c>
      <c r="D34" t="s">
        <v>91</v>
      </c>
      <c r="E34" t="s">
        <v>60</v>
      </c>
      <c r="F34" t="s">
        <v>92</v>
      </c>
      <c r="G34" t="s">
        <v>93</v>
      </c>
      <c r="H34" t="s">
        <v>94</v>
      </c>
      <c r="I34" t="s">
        <v>64</v>
      </c>
      <c r="J34" t="s">
        <v>65</v>
      </c>
      <c r="L34" t="s">
        <v>95</v>
      </c>
      <c r="O34" t="s">
        <v>96</v>
      </c>
      <c r="P34" t="s">
        <v>97</v>
      </c>
      <c r="S34">
        <v>15386</v>
      </c>
      <c r="T34" t="s">
        <v>98</v>
      </c>
      <c r="U34" t="s">
        <v>70</v>
      </c>
      <c r="W34" s="23">
        <v>18629</v>
      </c>
      <c r="X34" t="s">
        <v>99</v>
      </c>
      <c r="Y34" s="23">
        <v>40990</v>
      </c>
      <c r="Z34" s="23">
        <v>2958465</v>
      </c>
      <c r="AA34" s="23">
        <v>42976</v>
      </c>
      <c r="AB34" s="21">
        <v>37</v>
      </c>
      <c r="AC34">
        <v>54725</v>
      </c>
      <c r="AD34" t="s">
        <v>71</v>
      </c>
      <c r="AE34" t="s">
        <v>71</v>
      </c>
    </row>
    <row r="35" spans="1:31" x14ac:dyDescent="0.45">
      <c r="A35">
        <v>968553</v>
      </c>
      <c r="B35" t="s">
        <v>100</v>
      </c>
      <c r="C35" t="s">
        <v>90</v>
      </c>
      <c r="D35" t="s">
        <v>101</v>
      </c>
      <c r="E35" t="s">
        <v>1</v>
      </c>
      <c r="F35" t="s">
        <v>102</v>
      </c>
      <c r="G35" t="s">
        <v>103</v>
      </c>
      <c r="H35" t="s">
        <v>104</v>
      </c>
      <c r="I35" t="s">
        <v>64</v>
      </c>
      <c r="J35" t="s">
        <v>105</v>
      </c>
      <c r="L35" t="s">
        <v>106</v>
      </c>
      <c r="O35" t="s">
        <v>107</v>
      </c>
      <c r="P35" t="s">
        <v>108</v>
      </c>
      <c r="Q35" t="s">
        <v>109</v>
      </c>
      <c r="S35">
        <v>15385</v>
      </c>
      <c r="T35" t="s">
        <v>69</v>
      </c>
      <c r="U35" t="s">
        <v>70</v>
      </c>
      <c r="W35" s="23">
        <v>18629</v>
      </c>
      <c r="X35">
        <v>652547184</v>
      </c>
      <c r="Y35" s="23">
        <v>18629</v>
      </c>
      <c r="Z35" s="23">
        <v>2958465</v>
      </c>
      <c r="AA35" s="23">
        <v>42976</v>
      </c>
      <c r="AB35" s="21">
        <v>37</v>
      </c>
      <c r="AC35">
        <v>26836</v>
      </c>
      <c r="AD35" t="s">
        <v>71</v>
      </c>
      <c r="AE35" t="s">
        <v>71</v>
      </c>
    </row>
    <row r="36" spans="1:31" x14ac:dyDescent="0.45">
      <c r="A36">
        <v>968794</v>
      </c>
      <c r="B36" t="s">
        <v>110</v>
      </c>
      <c r="C36" t="s">
        <v>58</v>
      </c>
      <c r="D36" t="s">
        <v>111</v>
      </c>
      <c r="E36" t="s">
        <v>60</v>
      </c>
      <c r="F36" t="s">
        <v>61</v>
      </c>
      <c r="G36" t="s">
        <v>112</v>
      </c>
      <c r="H36" t="s">
        <v>113</v>
      </c>
      <c r="I36" t="s">
        <v>64</v>
      </c>
      <c r="J36" t="s">
        <v>114</v>
      </c>
      <c r="L36" t="s">
        <v>115</v>
      </c>
      <c r="O36" t="s">
        <v>116</v>
      </c>
      <c r="P36" t="s">
        <v>117</v>
      </c>
      <c r="Q36" t="s">
        <v>118</v>
      </c>
      <c r="S36">
        <v>15385</v>
      </c>
      <c r="T36" t="s">
        <v>69</v>
      </c>
      <c r="U36" t="s">
        <v>70</v>
      </c>
      <c r="W36" s="23">
        <v>18629</v>
      </c>
      <c r="Y36" s="23">
        <v>39112</v>
      </c>
      <c r="Z36" s="23">
        <v>2958465</v>
      </c>
      <c r="AA36" s="23">
        <v>42976</v>
      </c>
      <c r="AB36" s="21">
        <v>37</v>
      </c>
      <c r="AC36">
        <v>50400</v>
      </c>
      <c r="AD36" t="s">
        <v>71</v>
      </c>
      <c r="AE36" t="s">
        <v>71</v>
      </c>
    </row>
    <row r="37" spans="1:31" x14ac:dyDescent="0.45">
      <c r="A37">
        <v>969436</v>
      </c>
      <c r="B37" t="s">
        <v>119</v>
      </c>
      <c r="C37" t="s">
        <v>58</v>
      </c>
      <c r="D37" t="s">
        <v>120</v>
      </c>
      <c r="E37" t="s">
        <v>1</v>
      </c>
      <c r="F37" t="s">
        <v>102</v>
      </c>
      <c r="G37" t="s">
        <v>103</v>
      </c>
      <c r="H37" t="s">
        <v>104</v>
      </c>
      <c r="I37" t="s">
        <v>64</v>
      </c>
      <c r="J37" t="s">
        <v>105</v>
      </c>
      <c r="L37" t="s">
        <v>121</v>
      </c>
      <c r="O37" t="s">
        <v>122</v>
      </c>
      <c r="P37" t="s">
        <v>123</v>
      </c>
      <c r="Q37" t="s">
        <v>124</v>
      </c>
      <c r="S37">
        <v>15385</v>
      </c>
      <c r="T37" t="s">
        <v>69</v>
      </c>
      <c r="U37" t="s">
        <v>70</v>
      </c>
      <c r="W37" s="23">
        <v>18629</v>
      </c>
      <c r="X37">
        <v>201147896</v>
      </c>
      <c r="Y37" s="23">
        <v>36586</v>
      </c>
      <c r="Z37" s="23">
        <v>2958465</v>
      </c>
      <c r="AA37" s="23">
        <v>42976</v>
      </c>
      <c r="AB37" s="21">
        <v>37</v>
      </c>
      <c r="AC37">
        <v>26836</v>
      </c>
      <c r="AD37" t="s">
        <v>71</v>
      </c>
      <c r="AE37" t="s">
        <v>71</v>
      </c>
    </row>
    <row r="38" spans="1:31" x14ac:dyDescent="0.45">
      <c r="A38">
        <v>969448</v>
      </c>
      <c r="B38" t="s">
        <v>125</v>
      </c>
      <c r="C38" t="s">
        <v>90</v>
      </c>
      <c r="D38" t="s">
        <v>126</v>
      </c>
      <c r="E38" t="s">
        <v>1</v>
      </c>
      <c r="F38" t="s">
        <v>127</v>
      </c>
      <c r="G38" t="s">
        <v>128</v>
      </c>
      <c r="H38" t="s">
        <v>129</v>
      </c>
      <c r="I38" t="s">
        <v>130</v>
      </c>
      <c r="J38" t="s">
        <v>131</v>
      </c>
      <c r="L38" t="s">
        <v>132</v>
      </c>
      <c r="O38" t="s">
        <v>133</v>
      </c>
      <c r="P38" t="s">
        <v>134</v>
      </c>
      <c r="S38">
        <v>15386</v>
      </c>
      <c r="T38" t="s">
        <v>98</v>
      </c>
      <c r="U38" t="s">
        <v>70</v>
      </c>
      <c r="W38" s="23">
        <v>18629</v>
      </c>
      <c r="X38" t="s">
        <v>135</v>
      </c>
      <c r="Y38" s="23">
        <v>41373</v>
      </c>
      <c r="Z38" s="23">
        <v>2958465</v>
      </c>
      <c r="AA38" s="23">
        <v>42976</v>
      </c>
      <c r="AB38" s="21">
        <v>37</v>
      </c>
      <c r="AC38">
        <v>37350</v>
      </c>
      <c r="AD38" t="s">
        <v>71</v>
      </c>
      <c r="AE38" t="s">
        <v>71</v>
      </c>
    </row>
    <row r="39" spans="1:31" x14ac:dyDescent="0.45">
      <c r="A39">
        <v>970056</v>
      </c>
      <c r="B39" t="s">
        <v>136</v>
      </c>
      <c r="C39" t="s">
        <v>137</v>
      </c>
      <c r="D39" t="s">
        <v>138</v>
      </c>
      <c r="E39" t="s">
        <v>1</v>
      </c>
      <c r="F39" t="s">
        <v>102</v>
      </c>
      <c r="G39" t="s">
        <v>103</v>
      </c>
      <c r="H39" t="s">
        <v>139</v>
      </c>
      <c r="I39" t="s">
        <v>64</v>
      </c>
      <c r="J39" t="s">
        <v>105</v>
      </c>
      <c r="L39" t="s">
        <v>140</v>
      </c>
      <c r="M39" t="s">
        <v>141</v>
      </c>
      <c r="O39" t="s">
        <v>122</v>
      </c>
      <c r="P39" t="s">
        <v>142</v>
      </c>
      <c r="S39">
        <v>15386</v>
      </c>
      <c r="T39" t="s">
        <v>98</v>
      </c>
      <c r="U39" t="s">
        <v>70</v>
      </c>
      <c r="W39" s="23">
        <v>18629</v>
      </c>
      <c r="X39" t="s">
        <v>143</v>
      </c>
      <c r="Y39" s="23">
        <v>39118</v>
      </c>
      <c r="Z39" s="23">
        <v>2958465</v>
      </c>
      <c r="AA39" s="23">
        <v>42976</v>
      </c>
      <c r="AB39" s="21">
        <v>37</v>
      </c>
      <c r="AC39">
        <v>31840</v>
      </c>
      <c r="AD39" t="s">
        <v>71</v>
      </c>
      <c r="AE39" t="s">
        <v>71</v>
      </c>
    </row>
    <row r="40" spans="1:31" x14ac:dyDescent="0.45">
      <c r="A40">
        <v>970110</v>
      </c>
      <c r="B40" t="s">
        <v>144</v>
      </c>
      <c r="C40" t="s">
        <v>145</v>
      </c>
      <c r="D40" t="s">
        <v>146</v>
      </c>
      <c r="E40" t="s">
        <v>1</v>
      </c>
      <c r="F40" t="s">
        <v>102</v>
      </c>
      <c r="G40" t="s">
        <v>147</v>
      </c>
      <c r="H40" t="s">
        <v>104</v>
      </c>
      <c r="I40" t="s">
        <v>130</v>
      </c>
      <c r="J40" t="s">
        <v>131</v>
      </c>
      <c r="L40" t="s">
        <v>148</v>
      </c>
      <c r="M40" t="s">
        <v>149</v>
      </c>
      <c r="O40" t="s">
        <v>133</v>
      </c>
      <c r="P40" t="s">
        <v>150</v>
      </c>
      <c r="Q40" t="s">
        <v>151</v>
      </c>
      <c r="S40">
        <v>15385</v>
      </c>
      <c r="T40" t="s">
        <v>69</v>
      </c>
      <c r="U40" t="s">
        <v>70</v>
      </c>
      <c r="W40" s="23">
        <v>18629</v>
      </c>
      <c r="X40">
        <v>210487650</v>
      </c>
      <c r="Y40" s="23">
        <v>40257</v>
      </c>
      <c r="Z40" s="23">
        <v>2958465</v>
      </c>
      <c r="AA40" s="23">
        <v>42976</v>
      </c>
      <c r="AB40" s="21">
        <v>37</v>
      </c>
      <c r="AC40">
        <v>25531</v>
      </c>
      <c r="AD40" t="s">
        <v>71</v>
      </c>
      <c r="AE40" t="s">
        <v>71</v>
      </c>
    </row>
    <row r="41" spans="1:31" x14ac:dyDescent="0.45">
      <c r="A41">
        <v>970306</v>
      </c>
      <c r="B41" t="s">
        <v>152</v>
      </c>
      <c r="C41" t="s">
        <v>153</v>
      </c>
      <c r="D41" t="s">
        <v>154</v>
      </c>
      <c r="E41" t="s">
        <v>1</v>
      </c>
      <c r="F41" t="s">
        <v>102</v>
      </c>
      <c r="G41" t="s">
        <v>103</v>
      </c>
      <c r="H41" t="s">
        <v>155</v>
      </c>
      <c r="I41" t="s">
        <v>64</v>
      </c>
      <c r="J41" t="s">
        <v>156</v>
      </c>
      <c r="L41" t="s">
        <v>157</v>
      </c>
      <c r="M41" t="s">
        <v>158</v>
      </c>
      <c r="O41" t="s">
        <v>159</v>
      </c>
      <c r="P41" t="s">
        <v>160</v>
      </c>
      <c r="S41">
        <v>15385</v>
      </c>
      <c r="T41" t="s">
        <v>69</v>
      </c>
      <c r="U41" t="s">
        <v>70</v>
      </c>
      <c r="W41" s="23">
        <v>18629</v>
      </c>
      <c r="Y41" s="23">
        <v>41179</v>
      </c>
      <c r="Z41" s="23">
        <v>2958465</v>
      </c>
      <c r="AA41" s="23">
        <v>42976</v>
      </c>
      <c r="AB41" s="21">
        <v>37</v>
      </c>
      <c r="AC41">
        <v>24957</v>
      </c>
      <c r="AD41" t="s">
        <v>71</v>
      </c>
      <c r="AE41" t="s">
        <v>71</v>
      </c>
    </row>
    <row r="42" spans="1:31" x14ac:dyDescent="0.45">
      <c r="A42">
        <v>970487</v>
      </c>
      <c r="B42" t="s">
        <v>161</v>
      </c>
      <c r="C42" t="s">
        <v>162</v>
      </c>
      <c r="D42" t="s">
        <v>163</v>
      </c>
      <c r="E42" t="s">
        <v>1</v>
      </c>
      <c r="F42" t="s">
        <v>74</v>
      </c>
      <c r="G42" t="s">
        <v>75</v>
      </c>
      <c r="H42" t="s">
        <v>164</v>
      </c>
      <c r="I42" t="s">
        <v>64</v>
      </c>
      <c r="J42" t="s">
        <v>77</v>
      </c>
      <c r="L42" t="s">
        <v>165</v>
      </c>
      <c r="O42" t="s">
        <v>80</v>
      </c>
      <c r="P42" t="s">
        <v>166</v>
      </c>
      <c r="S42">
        <v>15385</v>
      </c>
      <c r="T42" t="s">
        <v>69</v>
      </c>
      <c r="U42" t="s">
        <v>70</v>
      </c>
      <c r="W42" s="23">
        <v>18629</v>
      </c>
      <c r="X42">
        <v>464933956</v>
      </c>
      <c r="Y42" s="23">
        <v>40124</v>
      </c>
      <c r="Z42" s="23">
        <v>2958465</v>
      </c>
      <c r="AA42" s="23">
        <v>42976</v>
      </c>
      <c r="AB42" s="21">
        <v>37</v>
      </c>
      <c r="AC42">
        <v>29980</v>
      </c>
      <c r="AD42" t="s">
        <v>71</v>
      </c>
      <c r="AE42" t="s">
        <v>71</v>
      </c>
    </row>
    <row r="43" spans="1:31" x14ac:dyDescent="0.45">
      <c r="A43">
        <v>971388</v>
      </c>
      <c r="B43" t="s">
        <v>167</v>
      </c>
      <c r="C43" t="s">
        <v>168</v>
      </c>
      <c r="D43" t="s">
        <v>169</v>
      </c>
      <c r="E43" t="s">
        <v>1</v>
      </c>
      <c r="F43" t="s">
        <v>102</v>
      </c>
      <c r="G43" t="s">
        <v>170</v>
      </c>
      <c r="H43" t="s">
        <v>171</v>
      </c>
      <c r="I43" t="s">
        <v>64</v>
      </c>
      <c r="J43" t="s">
        <v>105</v>
      </c>
      <c r="L43" t="s">
        <v>172</v>
      </c>
      <c r="O43" t="s">
        <v>107</v>
      </c>
      <c r="P43" t="s">
        <v>173</v>
      </c>
      <c r="S43">
        <v>15386</v>
      </c>
      <c r="T43" t="s">
        <v>98</v>
      </c>
      <c r="U43" t="s">
        <v>70</v>
      </c>
      <c r="W43" s="23">
        <v>18629</v>
      </c>
      <c r="X43" t="s">
        <v>174</v>
      </c>
      <c r="Y43" s="23">
        <v>39752</v>
      </c>
      <c r="Z43" s="23">
        <v>2958465</v>
      </c>
      <c r="AA43" s="23">
        <v>42976</v>
      </c>
      <c r="AB43" s="21">
        <v>37</v>
      </c>
      <c r="AC43">
        <v>31268</v>
      </c>
      <c r="AD43" t="s">
        <v>71</v>
      </c>
      <c r="AE43" t="s">
        <v>71</v>
      </c>
    </row>
    <row r="44" spans="1:31" x14ac:dyDescent="0.45">
      <c r="A44">
        <v>971434</v>
      </c>
      <c r="B44" t="s">
        <v>175</v>
      </c>
      <c r="C44" t="s">
        <v>176</v>
      </c>
      <c r="D44" t="s">
        <v>177</v>
      </c>
      <c r="E44" t="s">
        <v>1</v>
      </c>
      <c r="F44" t="s">
        <v>102</v>
      </c>
      <c r="G44" t="s">
        <v>178</v>
      </c>
      <c r="H44" t="s">
        <v>179</v>
      </c>
      <c r="I44" t="s">
        <v>64</v>
      </c>
      <c r="J44" t="s">
        <v>180</v>
      </c>
      <c r="L44" t="s">
        <v>181</v>
      </c>
      <c r="O44" t="s">
        <v>182</v>
      </c>
      <c r="P44" t="s">
        <v>183</v>
      </c>
      <c r="S44">
        <v>15385</v>
      </c>
      <c r="T44" t="s">
        <v>69</v>
      </c>
      <c r="U44" t="s">
        <v>70</v>
      </c>
      <c r="W44" s="23">
        <v>18629</v>
      </c>
      <c r="Y44" s="23">
        <v>42339</v>
      </c>
      <c r="Z44" s="23">
        <v>2958465</v>
      </c>
      <c r="AA44" s="23">
        <v>42976</v>
      </c>
      <c r="AB44" s="21">
        <v>37</v>
      </c>
      <c r="AC44">
        <v>71539</v>
      </c>
      <c r="AD44" t="s">
        <v>71</v>
      </c>
      <c r="AE44" t="s">
        <v>71</v>
      </c>
    </row>
    <row r="45" spans="1:31" x14ac:dyDescent="0.45">
      <c r="A45">
        <v>971544</v>
      </c>
      <c r="B45" t="s">
        <v>184</v>
      </c>
      <c r="C45" t="s">
        <v>58</v>
      </c>
      <c r="D45" t="s">
        <v>185</v>
      </c>
      <c r="E45" t="s">
        <v>1</v>
      </c>
      <c r="F45" t="s">
        <v>102</v>
      </c>
      <c r="G45" t="s">
        <v>186</v>
      </c>
      <c r="H45" t="s">
        <v>104</v>
      </c>
      <c r="I45" t="s">
        <v>64</v>
      </c>
      <c r="J45" t="s">
        <v>105</v>
      </c>
      <c r="L45" t="s">
        <v>187</v>
      </c>
      <c r="O45" t="s">
        <v>122</v>
      </c>
      <c r="P45" t="s">
        <v>188</v>
      </c>
      <c r="Q45" t="s">
        <v>189</v>
      </c>
      <c r="S45">
        <v>15385</v>
      </c>
      <c r="T45" t="s">
        <v>69</v>
      </c>
      <c r="U45" t="s">
        <v>70</v>
      </c>
      <c r="W45" s="23">
        <v>18629</v>
      </c>
      <c r="X45" t="s">
        <v>190</v>
      </c>
      <c r="Y45" s="23">
        <v>41220</v>
      </c>
      <c r="Z45" s="23">
        <v>2958465</v>
      </c>
      <c r="AA45" s="23">
        <v>42976</v>
      </c>
      <c r="AB45" s="21">
        <v>37</v>
      </c>
      <c r="AC45">
        <v>26836</v>
      </c>
      <c r="AD45" t="s">
        <v>71</v>
      </c>
      <c r="AE45" t="s">
        <v>71</v>
      </c>
    </row>
    <row r="46" spans="1:31" x14ac:dyDescent="0.45">
      <c r="A46">
        <v>971699</v>
      </c>
      <c r="B46" t="s">
        <v>191</v>
      </c>
      <c r="C46" t="s">
        <v>192</v>
      </c>
      <c r="D46" t="s">
        <v>193</v>
      </c>
      <c r="E46" t="s">
        <v>1</v>
      </c>
      <c r="F46" t="s">
        <v>102</v>
      </c>
      <c r="G46" t="s">
        <v>103</v>
      </c>
      <c r="H46" t="s">
        <v>194</v>
      </c>
      <c r="I46" t="s">
        <v>64</v>
      </c>
      <c r="J46" t="s">
        <v>105</v>
      </c>
      <c r="L46" t="s">
        <v>195</v>
      </c>
      <c r="O46" t="s">
        <v>196</v>
      </c>
      <c r="P46" t="s">
        <v>197</v>
      </c>
      <c r="S46">
        <v>15385</v>
      </c>
      <c r="T46" t="s">
        <v>69</v>
      </c>
      <c r="U46" t="s">
        <v>70</v>
      </c>
      <c r="W46" s="23">
        <v>18629</v>
      </c>
      <c r="Y46" s="23">
        <v>18629</v>
      </c>
      <c r="Z46" s="23">
        <v>2958465</v>
      </c>
      <c r="AA46" s="23">
        <v>42976</v>
      </c>
      <c r="AB46" s="21">
        <v>37</v>
      </c>
      <c r="AC46">
        <v>26836</v>
      </c>
      <c r="AD46" t="s">
        <v>71</v>
      </c>
      <c r="AE46" t="s">
        <v>71</v>
      </c>
    </row>
    <row r="47" spans="1:31" x14ac:dyDescent="0.45">
      <c r="A47">
        <v>972584</v>
      </c>
      <c r="B47" t="s">
        <v>198</v>
      </c>
      <c r="C47" t="s">
        <v>58</v>
      </c>
      <c r="D47" t="s">
        <v>199</v>
      </c>
      <c r="E47" t="s">
        <v>1</v>
      </c>
      <c r="F47" t="s">
        <v>74</v>
      </c>
      <c r="G47" t="s">
        <v>75</v>
      </c>
      <c r="H47" t="s">
        <v>200</v>
      </c>
      <c r="I47" t="s">
        <v>64</v>
      </c>
      <c r="J47" t="s">
        <v>77</v>
      </c>
      <c r="L47" t="s">
        <v>201</v>
      </c>
      <c r="O47" t="s">
        <v>202</v>
      </c>
      <c r="P47" t="s">
        <v>203</v>
      </c>
      <c r="S47">
        <v>15386</v>
      </c>
      <c r="T47" t="s">
        <v>98</v>
      </c>
      <c r="U47" t="s">
        <v>70</v>
      </c>
      <c r="W47" s="23">
        <v>18629</v>
      </c>
      <c r="X47" t="s">
        <v>204</v>
      </c>
      <c r="Y47" s="23">
        <v>39624</v>
      </c>
      <c r="Z47" s="23">
        <v>2958465</v>
      </c>
      <c r="AA47" s="23">
        <v>42976</v>
      </c>
      <c r="AB47" s="21">
        <v>37</v>
      </c>
      <c r="AC47">
        <v>38397</v>
      </c>
      <c r="AD47" t="s">
        <v>71</v>
      </c>
      <c r="AE47" t="s">
        <v>71</v>
      </c>
    </row>
    <row r="48" spans="1:31" x14ac:dyDescent="0.45">
      <c r="A48">
        <v>972817</v>
      </c>
      <c r="B48" t="s">
        <v>205</v>
      </c>
      <c r="C48" t="s">
        <v>206</v>
      </c>
      <c r="D48" t="s">
        <v>185</v>
      </c>
      <c r="E48" t="s">
        <v>1</v>
      </c>
      <c r="F48" t="s">
        <v>102</v>
      </c>
      <c r="G48" t="s">
        <v>186</v>
      </c>
      <c r="H48" t="s">
        <v>104</v>
      </c>
      <c r="I48" t="s">
        <v>64</v>
      </c>
      <c r="J48" t="s">
        <v>105</v>
      </c>
      <c r="L48" t="s">
        <v>207</v>
      </c>
      <c r="O48" t="s">
        <v>80</v>
      </c>
      <c r="P48" t="s">
        <v>208</v>
      </c>
      <c r="Q48">
        <v>2087407338</v>
      </c>
      <c r="S48">
        <v>15386</v>
      </c>
      <c r="T48" t="s">
        <v>98</v>
      </c>
      <c r="U48" t="s">
        <v>70</v>
      </c>
      <c r="W48" s="23">
        <v>18629</v>
      </c>
      <c r="X48" t="s">
        <v>209</v>
      </c>
      <c r="Y48" s="23">
        <v>35887</v>
      </c>
      <c r="Z48" s="23">
        <v>2958465</v>
      </c>
      <c r="AA48" s="23">
        <v>42976</v>
      </c>
      <c r="AB48" s="21">
        <v>37</v>
      </c>
      <c r="AC48">
        <v>26836</v>
      </c>
      <c r="AD48" t="s">
        <v>71</v>
      </c>
      <c r="AE48" t="s">
        <v>71</v>
      </c>
    </row>
    <row r="49" spans="1:31" x14ac:dyDescent="0.45">
      <c r="A49">
        <v>972827</v>
      </c>
      <c r="B49" t="s">
        <v>210</v>
      </c>
      <c r="C49" t="s">
        <v>211</v>
      </c>
      <c r="D49" t="s">
        <v>212</v>
      </c>
      <c r="E49" t="s">
        <v>1</v>
      </c>
      <c r="F49" t="s">
        <v>102</v>
      </c>
      <c r="G49" t="s">
        <v>103</v>
      </c>
      <c r="H49" t="s">
        <v>104</v>
      </c>
      <c r="I49" t="s">
        <v>130</v>
      </c>
      <c r="J49" t="s">
        <v>105</v>
      </c>
      <c r="L49" t="s">
        <v>213</v>
      </c>
      <c r="M49" t="s">
        <v>214</v>
      </c>
      <c r="O49" t="s">
        <v>215</v>
      </c>
      <c r="P49" t="s">
        <v>216</v>
      </c>
      <c r="S49">
        <v>15386</v>
      </c>
      <c r="T49" t="s">
        <v>98</v>
      </c>
      <c r="U49" t="s">
        <v>70</v>
      </c>
      <c r="W49" s="23">
        <v>18629</v>
      </c>
      <c r="X49" t="s">
        <v>217</v>
      </c>
      <c r="Y49" s="23">
        <v>39895</v>
      </c>
      <c r="Z49" s="23">
        <v>2958465</v>
      </c>
      <c r="AA49" s="23">
        <v>42976</v>
      </c>
      <c r="AB49" s="21">
        <v>37</v>
      </c>
      <c r="AC49">
        <v>26836</v>
      </c>
      <c r="AD49" t="s">
        <v>71</v>
      </c>
      <c r="AE49" t="s">
        <v>71</v>
      </c>
    </row>
    <row r="50" spans="1:31" x14ac:dyDescent="0.45">
      <c r="A50">
        <v>972980</v>
      </c>
      <c r="B50" t="s">
        <v>218</v>
      </c>
      <c r="C50" t="s">
        <v>90</v>
      </c>
      <c r="D50" t="s">
        <v>219</v>
      </c>
      <c r="E50" t="s">
        <v>1</v>
      </c>
      <c r="F50" t="s">
        <v>102</v>
      </c>
      <c r="G50" t="s">
        <v>147</v>
      </c>
      <c r="H50" t="s">
        <v>104</v>
      </c>
      <c r="I50" t="s">
        <v>64</v>
      </c>
      <c r="J50" t="s">
        <v>131</v>
      </c>
      <c r="L50" t="s">
        <v>220</v>
      </c>
      <c r="O50" t="s">
        <v>221</v>
      </c>
      <c r="P50" t="s">
        <v>222</v>
      </c>
      <c r="Q50" t="s">
        <v>223</v>
      </c>
      <c r="S50">
        <v>15386</v>
      </c>
      <c r="T50" t="s">
        <v>98</v>
      </c>
      <c r="U50" t="s">
        <v>70</v>
      </c>
      <c r="W50" s="23">
        <v>18629</v>
      </c>
      <c r="X50" t="s">
        <v>224</v>
      </c>
      <c r="Y50" s="23">
        <v>41436</v>
      </c>
      <c r="Z50" s="23">
        <v>2958465</v>
      </c>
      <c r="AA50" s="23">
        <v>42976</v>
      </c>
      <c r="AB50" s="21">
        <v>37</v>
      </c>
      <c r="AC50">
        <v>25531</v>
      </c>
      <c r="AD50" t="s">
        <v>71</v>
      </c>
      <c r="AE50" t="s">
        <v>71</v>
      </c>
    </row>
    <row r="51" spans="1:31" x14ac:dyDescent="0.45">
      <c r="A51">
        <v>972981</v>
      </c>
      <c r="B51" t="s">
        <v>225</v>
      </c>
      <c r="C51" t="s">
        <v>226</v>
      </c>
      <c r="D51" t="s">
        <v>227</v>
      </c>
      <c r="E51" t="s">
        <v>60</v>
      </c>
      <c r="F51" t="s">
        <v>61</v>
      </c>
      <c r="G51" t="s">
        <v>228</v>
      </c>
      <c r="H51" t="s">
        <v>229</v>
      </c>
      <c r="I51" t="s">
        <v>64</v>
      </c>
      <c r="J51" t="s">
        <v>114</v>
      </c>
      <c r="L51" t="s">
        <v>230</v>
      </c>
      <c r="O51" t="s">
        <v>80</v>
      </c>
      <c r="P51" t="s">
        <v>231</v>
      </c>
      <c r="S51">
        <v>15385</v>
      </c>
      <c r="T51" t="s">
        <v>69</v>
      </c>
      <c r="U51" t="s">
        <v>70</v>
      </c>
      <c r="W51" s="23">
        <v>18629</v>
      </c>
      <c r="Y51" s="23">
        <v>18629</v>
      </c>
      <c r="Z51" s="23">
        <v>2958465</v>
      </c>
      <c r="AA51" s="23">
        <v>42976</v>
      </c>
      <c r="AB51" s="21">
        <v>37</v>
      </c>
      <c r="AC51">
        <v>60900</v>
      </c>
      <c r="AD51" t="s">
        <v>71</v>
      </c>
      <c r="AE51" t="s">
        <v>71</v>
      </c>
    </row>
    <row r="52" spans="1:31" x14ac:dyDescent="0.45">
      <c r="A52">
        <v>973938</v>
      </c>
      <c r="B52" t="s">
        <v>232</v>
      </c>
      <c r="C52" t="s">
        <v>233</v>
      </c>
      <c r="D52" t="s">
        <v>234</v>
      </c>
      <c r="E52" t="s">
        <v>1</v>
      </c>
      <c r="F52" t="s">
        <v>102</v>
      </c>
      <c r="G52" t="s">
        <v>235</v>
      </c>
      <c r="H52" t="s">
        <v>236</v>
      </c>
      <c r="I52" t="s">
        <v>64</v>
      </c>
      <c r="J52" t="s">
        <v>105</v>
      </c>
      <c r="L52" t="s">
        <v>237</v>
      </c>
      <c r="O52" t="s">
        <v>215</v>
      </c>
      <c r="P52" t="s">
        <v>238</v>
      </c>
      <c r="S52">
        <v>15385</v>
      </c>
      <c r="T52" t="s">
        <v>69</v>
      </c>
      <c r="U52" t="s">
        <v>70</v>
      </c>
      <c r="W52" s="23">
        <v>18629</v>
      </c>
      <c r="Y52" s="23">
        <v>18629</v>
      </c>
      <c r="Z52" s="23">
        <v>2958465</v>
      </c>
      <c r="AA52" s="23">
        <v>42976</v>
      </c>
      <c r="AB52" s="21">
        <v>37</v>
      </c>
      <c r="AC52">
        <v>51303</v>
      </c>
      <c r="AD52" t="s">
        <v>71</v>
      </c>
      <c r="AE52" t="s">
        <v>71</v>
      </c>
    </row>
    <row r="53" spans="1:31" x14ac:dyDescent="0.45">
      <c r="A53">
        <v>974180</v>
      </c>
      <c r="B53" t="s">
        <v>239</v>
      </c>
      <c r="C53" t="s">
        <v>240</v>
      </c>
      <c r="D53" t="s">
        <v>241</v>
      </c>
      <c r="E53" t="s">
        <v>1</v>
      </c>
      <c r="F53" t="s">
        <v>102</v>
      </c>
      <c r="G53" t="s">
        <v>103</v>
      </c>
      <c r="H53" t="s">
        <v>104</v>
      </c>
      <c r="I53" t="s">
        <v>64</v>
      </c>
      <c r="J53" t="s">
        <v>131</v>
      </c>
      <c r="K53" t="s">
        <v>131</v>
      </c>
      <c r="L53" t="s">
        <v>242</v>
      </c>
      <c r="O53" t="s">
        <v>221</v>
      </c>
      <c r="P53" t="s">
        <v>243</v>
      </c>
      <c r="S53">
        <v>15385</v>
      </c>
      <c r="T53" t="s">
        <v>69</v>
      </c>
      <c r="U53" t="s">
        <v>70</v>
      </c>
      <c r="W53" s="23">
        <v>18629</v>
      </c>
      <c r="Y53" s="23">
        <v>18629</v>
      </c>
      <c r="Z53" s="23">
        <v>2958465</v>
      </c>
      <c r="AA53" s="23">
        <v>42976</v>
      </c>
      <c r="AB53" s="21">
        <v>37</v>
      </c>
      <c r="AC53">
        <v>25531</v>
      </c>
      <c r="AD53" t="s">
        <v>71</v>
      </c>
      <c r="AE53" t="s">
        <v>71</v>
      </c>
    </row>
    <row r="54" spans="1:31" x14ac:dyDescent="0.45">
      <c r="A54">
        <v>974434</v>
      </c>
      <c r="B54" t="s">
        <v>244</v>
      </c>
      <c r="C54" t="s">
        <v>58</v>
      </c>
      <c r="D54" t="s">
        <v>73</v>
      </c>
      <c r="E54" t="s">
        <v>1</v>
      </c>
      <c r="F54" t="s">
        <v>74</v>
      </c>
      <c r="G54" t="s">
        <v>75</v>
      </c>
      <c r="H54" t="s">
        <v>76</v>
      </c>
      <c r="I54" t="s">
        <v>64</v>
      </c>
      <c r="J54" t="s">
        <v>77</v>
      </c>
      <c r="L54" t="s">
        <v>245</v>
      </c>
      <c r="M54" t="s">
        <v>246</v>
      </c>
      <c r="O54" t="s">
        <v>247</v>
      </c>
      <c r="P54" t="s">
        <v>248</v>
      </c>
      <c r="S54">
        <v>15385</v>
      </c>
      <c r="T54" t="s">
        <v>69</v>
      </c>
      <c r="U54" t="s">
        <v>70</v>
      </c>
      <c r="W54" s="23">
        <v>18629</v>
      </c>
      <c r="Y54" s="23">
        <v>18629</v>
      </c>
      <c r="Z54" s="23">
        <v>2958465</v>
      </c>
      <c r="AA54" s="23">
        <v>42976</v>
      </c>
      <c r="AB54" s="21">
        <v>37</v>
      </c>
      <c r="AC54">
        <v>29980</v>
      </c>
      <c r="AD54" t="s">
        <v>71</v>
      </c>
      <c r="AE54" t="s">
        <v>71</v>
      </c>
    </row>
    <row r="55" spans="1:31" x14ac:dyDescent="0.45">
      <c r="A55">
        <v>974467</v>
      </c>
      <c r="B55" t="s">
        <v>249</v>
      </c>
      <c r="C55" t="s">
        <v>250</v>
      </c>
      <c r="D55" t="s">
        <v>251</v>
      </c>
      <c r="E55" t="s">
        <v>1</v>
      </c>
      <c r="F55" t="s">
        <v>102</v>
      </c>
      <c r="G55" t="s">
        <v>103</v>
      </c>
      <c r="H55" t="s">
        <v>194</v>
      </c>
      <c r="I55" t="s">
        <v>64</v>
      </c>
      <c r="J55" t="s">
        <v>131</v>
      </c>
      <c r="L55" t="s">
        <v>252</v>
      </c>
      <c r="O55" t="s">
        <v>133</v>
      </c>
      <c r="P55" t="s">
        <v>253</v>
      </c>
      <c r="Q55">
        <v>1392537212</v>
      </c>
      <c r="S55">
        <v>15386</v>
      </c>
      <c r="T55" t="s">
        <v>98</v>
      </c>
      <c r="U55" t="s">
        <v>70</v>
      </c>
      <c r="W55" s="23">
        <v>18629</v>
      </c>
      <c r="X55" t="s">
        <v>254</v>
      </c>
      <c r="Y55" s="23">
        <v>40429</v>
      </c>
      <c r="Z55" s="23">
        <v>2958465</v>
      </c>
      <c r="AA55" s="23">
        <v>42976</v>
      </c>
      <c r="AB55" s="21">
        <v>37</v>
      </c>
      <c r="AC55">
        <v>25531</v>
      </c>
      <c r="AD55" t="s">
        <v>71</v>
      </c>
      <c r="AE55" t="s">
        <v>71</v>
      </c>
    </row>
    <row r="56" spans="1:31" x14ac:dyDescent="0.45">
      <c r="A56">
        <v>974566</v>
      </c>
      <c r="B56" t="s">
        <v>255</v>
      </c>
      <c r="C56" t="s">
        <v>256</v>
      </c>
      <c r="D56" t="s">
        <v>257</v>
      </c>
      <c r="E56" t="s">
        <v>1</v>
      </c>
      <c r="F56" t="s">
        <v>102</v>
      </c>
      <c r="G56" t="s">
        <v>258</v>
      </c>
      <c r="H56" t="s">
        <v>259</v>
      </c>
      <c r="I56" t="s">
        <v>64</v>
      </c>
      <c r="J56" t="s">
        <v>156</v>
      </c>
      <c r="L56" t="s">
        <v>260</v>
      </c>
      <c r="M56" t="s">
        <v>261</v>
      </c>
      <c r="O56" t="s">
        <v>159</v>
      </c>
      <c r="P56" t="s">
        <v>262</v>
      </c>
      <c r="S56">
        <v>15386</v>
      </c>
      <c r="T56" t="s">
        <v>98</v>
      </c>
      <c r="U56" t="s">
        <v>70</v>
      </c>
      <c r="W56" s="23">
        <v>18629</v>
      </c>
      <c r="X56" t="s">
        <v>263</v>
      </c>
      <c r="Y56" s="23">
        <v>42447</v>
      </c>
      <c r="Z56" s="23">
        <v>2958465</v>
      </c>
      <c r="AA56" s="23">
        <v>42976</v>
      </c>
      <c r="AB56" s="21">
        <v>37</v>
      </c>
      <c r="AC56">
        <v>29610</v>
      </c>
      <c r="AD56" t="s">
        <v>71</v>
      </c>
      <c r="AE56" t="s">
        <v>71</v>
      </c>
    </row>
    <row r="57" spans="1:31" x14ac:dyDescent="0.45">
      <c r="A57">
        <v>974729</v>
      </c>
      <c r="B57" t="s">
        <v>264</v>
      </c>
      <c r="C57" t="s">
        <v>192</v>
      </c>
      <c r="D57" t="s">
        <v>265</v>
      </c>
      <c r="E57" t="s">
        <v>1</v>
      </c>
      <c r="F57" t="s">
        <v>102</v>
      </c>
      <c r="G57" t="s">
        <v>103</v>
      </c>
      <c r="H57" t="s">
        <v>104</v>
      </c>
      <c r="I57" t="s">
        <v>64</v>
      </c>
      <c r="J57" t="s">
        <v>105</v>
      </c>
      <c r="L57" t="s">
        <v>266</v>
      </c>
      <c r="M57" t="s">
        <v>267</v>
      </c>
      <c r="O57" t="s">
        <v>215</v>
      </c>
      <c r="P57" t="s">
        <v>268</v>
      </c>
      <c r="Q57">
        <v>1273231459</v>
      </c>
      <c r="S57">
        <v>15386</v>
      </c>
      <c r="T57" t="s">
        <v>98</v>
      </c>
      <c r="U57" t="s">
        <v>70</v>
      </c>
      <c r="W57" s="23">
        <v>18629</v>
      </c>
      <c r="X57" t="s">
        <v>269</v>
      </c>
      <c r="Y57" s="23">
        <v>40879</v>
      </c>
      <c r="Z57" s="23">
        <v>2958465</v>
      </c>
      <c r="AA57" s="23">
        <v>42976</v>
      </c>
      <c r="AB57" s="21">
        <v>37</v>
      </c>
      <c r="AC57">
        <v>26836</v>
      </c>
      <c r="AD57" t="s">
        <v>71</v>
      </c>
      <c r="AE57" t="s">
        <v>71</v>
      </c>
    </row>
    <row r="58" spans="1:31" x14ac:dyDescent="0.45">
      <c r="A58">
        <v>975294</v>
      </c>
      <c r="B58" t="s">
        <v>277</v>
      </c>
      <c r="C58" t="s">
        <v>278</v>
      </c>
      <c r="D58" t="s">
        <v>279</v>
      </c>
      <c r="E58" t="s">
        <v>1</v>
      </c>
      <c r="F58" t="s">
        <v>102</v>
      </c>
      <c r="G58" t="s">
        <v>170</v>
      </c>
      <c r="H58" t="s">
        <v>280</v>
      </c>
      <c r="I58" t="s">
        <v>64</v>
      </c>
      <c r="J58" t="s">
        <v>281</v>
      </c>
      <c r="K58" t="s">
        <v>77</v>
      </c>
      <c r="L58" t="s">
        <v>282</v>
      </c>
      <c r="O58" t="s">
        <v>283</v>
      </c>
      <c r="P58" t="s">
        <v>284</v>
      </c>
      <c r="S58">
        <v>15385</v>
      </c>
      <c r="T58" t="s">
        <v>69</v>
      </c>
      <c r="U58" t="s">
        <v>70</v>
      </c>
      <c r="W58" s="23">
        <v>18629</v>
      </c>
      <c r="Y58" s="23">
        <v>18629</v>
      </c>
      <c r="Z58" s="23">
        <v>2958465</v>
      </c>
      <c r="AA58" s="23">
        <v>42976</v>
      </c>
      <c r="AB58" s="21">
        <v>37</v>
      </c>
      <c r="AC58">
        <v>37985</v>
      </c>
      <c r="AD58" t="s">
        <v>71</v>
      </c>
      <c r="AE58" t="s">
        <v>71</v>
      </c>
    </row>
    <row r="59" spans="1:31" x14ac:dyDescent="0.45">
      <c r="A59">
        <v>975671</v>
      </c>
      <c r="B59" t="s">
        <v>285</v>
      </c>
      <c r="C59" t="s">
        <v>153</v>
      </c>
      <c r="D59" t="s">
        <v>286</v>
      </c>
      <c r="E59" t="s">
        <v>1</v>
      </c>
      <c r="F59" t="s">
        <v>74</v>
      </c>
      <c r="G59" t="s">
        <v>75</v>
      </c>
      <c r="H59" t="s">
        <v>287</v>
      </c>
      <c r="I59" t="s">
        <v>64</v>
      </c>
      <c r="J59" t="s">
        <v>77</v>
      </c>
      <c r="L59" t="s">
        <v>288</v>
      </c>
      <c r="O59" t="s">
        <v>289</v>
      </c>
      <c r="P59" t="s">
        <v>290</v>
      </c>
      <c r="S59">
        <v>15386</v>
      </c>
      <c r="T59" t="s">
        <v>98</v>
      </c>
      <c r="U59" t="s">
        <v>70</v>
      </c>
      <c r="W59" s="23">
        <v>18629</v>
      </c>
      <c r="X59" t="s">
        <v>291</v>
      </c>
      <c r="Y59" s="23">
        <v>42040</v>
      </c>
      <c r="Z59" s="23">
        <v>2958465</v>
      </c>
      <c r="AA59" s="23">
        <v>42976</v>
      </c>
      <c r="AB59" s="21">
        <v>37</v>
      </c>
      <c r="AC59">
        <v>27283</v>
      </c>
      <c r="AD59" t="s">
        <v>71</v>
      </c>
      <c r="AE59" t="s">
        <v>71</v>
      </c>
    </row>
    <row r="60" spans="1:31" x14ac:dyDescent="0.45">
      <c r="A60">
        <v>975859</v>
      </c>
      <c r="B60" t="s">
        <v>292</v>
      </c>
      <c r="C60" t="s">
        <v>58</v>
      </c>
      <c r="D60" t="s">
        <v>293</v>
      </c>
      <c r="E60" t="s">
        <v>294</v>
      </c>
      <c r="F60" t="s">
        <v>295</v>
      </c>
      <c r="G60" t="s">
        <v>296</v>
      </c>
      <c r="H60" t="s">
        <v>297</v>
      </c>
      <c r="I60" t="s">
        <v>64</v>
      </c>
      <c r="J60" t="s">
        <v>298</v>
      </c>
      <c r="L60" t="s">
        <v>299</v>
      </c>
      <c r="M60" t="s">
        <v>300</v>
      </c>
      <c r="O60" t="s">
        <v>301</v>
      </c>
      <c r="P60" t="s">
        <v>302</v>
      </c>
      <c r="S60">
        <v>15386</v>
      </c>
      <c r="T60" t="s">
        <v>98</v>
      </c>
      <c r="U60" t="s">
        <v>70</v>
      </c>
      <c r="W60" s="23">
        <v>18629</v>
      </c>
      <c r="X60" t="s">
        <v>303</v>
      </c>
      <c r="Y60" s="23">
        <v>42114</v>
      </c>
      <c r="Z60" s="23">
        <v>2958465</v>
      </c>
      <c r="AA60" s="23">
        <v>42976</v>
      </c>
      <c r="AB60" s="21">
        <v>37</v>
      </c>
      <c r="AC60">
        <v>54385</v>
      </c>
      <c r="AD60" t="s">
        <v>71</v>
      </c>
      <c r="AE60" t="s">
        <v>71</v>
      </c>
    </row>
    <row r="61" spans="1:31" x14ac:dyDescent="0.45">
      <c r="A61">
        <v>975872</v>
      </c>
      <c r="B61" t="s">
        <v>304</v>
      </c>
      <c r="C61" t="s">
        <v>153</v>
      </c>
      <c r="D61" t="s">
        <v>305</v>
      </c>
      <c r="E61" t="s">
        <v>1</v>
      </c>
      <c r="F61" t="s">
        <v>102</v>
      </c>
      <c r="G61" t="s">
        <v>170</v>
      </c>
      <c r="H61" t="s">
        <v>306</v>
      </c>
      <c r="I61" t="s">
        <v>64</v>
      </c>
      <c r="J61" t="s">
        <v>77</v>
      </c>
      <c r="L61" t="s">
        <v>307</v>
      </c>
      <c r="O61" t="s">
        <v>308</v>
      </c>
      <c r="P61" t="s">
        <v>309</v>
      </c>
      <c r="S61">
        <v>15386</v>
      </c>
      <c r="T61" t="s">
        <v>98</v>
      </c>
      <c r="U61" t="s">
        <v>70</v>
      </c>
      <c r="W61" s="23">
        <v>18629</v>
      </c>
      <c r="X61" t="s">
        <v>310</v>
      </c>
      <c r="Y61" s="23">
        <v>41897</v>
      </c>
      <c r="Z61" s="23">
        <v>2958465</v>
      </c>
      <c r="AA61" s="23">
        <v>42976</v>
      </c>
      <c r="AB61" s="21">
        <v>37</v>
      </c>
      <c r="AC61">
        <v>29081</v>
      </c>
      <c r="AD61" t="s">
        <v>71</v>
      </c>
      <c r="AE61" t="s">
        <v>71</v>
      </c>
    </row>
    <row r="62" spans="1:31" x14ac:dyDescent="0.45">
      <c r="A62">
        <v>976489</v>
      </c>
      <c r="B62" t="s">
        <v>311</v>
      </c>
      <c r="C62" t="s">
        <v>312</v>
      </c>
      <c r="D62" t="s">
        <v>313</v>
      </c>
      <c r="E62" t="s">
        <v>1</v>
      </c>
      <c r="F62" t="s">
        <v>102</v>
      </c>
      <c r="G62" t="s">
        <v>170</v>
      </c>
      <c r="H62" t="s">
        <v>306</v>
      </c>
      <c r="I62" t="s">
        <v>64</v>
      </c>
      <c r="J62" t="s">
        <v>77</v>
      </c>
      <c r="L62" t="s">
        <v>314</v>
      </c>
      <c r="O62" t="s">
        <v>315</v>
      </c>
      <c r="P62" t="s">
        <v>316</v>
      </c>
      <c r="S62">
        <v>15385</v>
      </c>
      <c r="T62" t="s">
        <v>69</v>
      </c>
      <c r="U62" t="s">
        <v>70</v>
      </c>
      <c r="W62" s="23">
        <v>18629</v>
      </c>
      <c r="X62">
        <v>521704387</v>
      </c>
      <c r="Y62" s="23">
        <v>18629</v>
      </c>
      <c r="Z62" s="23">
        <v>2958465</v>
      </c>
      <c r="AA62" s="23">
        <v>42976</v>
      </c>
      <c r="AB62" s="21">
        <v>37</v>
      </c>
      <c r="AC62">
        <v>26386</v>
      </c>
      <c r="AD62" t="s">
        <v>71</v>
      </c>
      <c r="AE62" t="s">
        <v>71</v>
      </c>
    </row>
    <row r="63" spans="1:31" x14ac:dyDescent="0.45">
      <c r="A63">
        <v>977258</v>
      </c>
      <c r="B63" t="s">
        <v>317</v>
      </c>
      <c r="C63" t="s">
        <v>318</v>
      </c>
      <c r="D63" t="s">
        <v>319</v>
      </c>
      <c r="E63" t="s">
        <v>320</v>
      </c>
      <c r="F63" t="s">
        <v>321</v>
      </c>
      <c r="G63" t="s">
        <v>322</v>
      </c>
      <c r="H63" t="s">
        <v>323</v>
      </c>
      <c r="I63" t="s">
        <v>64</v>
      </c>
      <c r="J63" t="s">
        <v>114</v>
      </c>
      <c r="L63" t="s">
        <v>324</v>
      </c>
      <c r="O63" t="s">
        <v>325</v>
      </c>
      <c r="P63" t="s">
        <v>326</v>
      </c>
      <c r="S63">
        <v>15385</v>
      </c>
      <c r="T63" t="s">
        <v>69</v>
      </c>
      <c r="U63" t="s">
        <v>70</v>
      </c>
      <c r="W63" s="23">
        <v>18629</v>
      </c>
      <c r="Y63" s="23">
        <v>42485</v>
      </c>
      <c r="Z63" s="23">
        <v>2958465</v>
      </c>
      <c r="AA63" s="23">
        <v>42976</v>
      </c>
      <c r="AB63" s="21">
        <v>37</v>
      </c>
      <c r="AC63">
        <v>59552</v>
      </c>
      <c r="AD63" t="s">
        <v>71</v>
      </c>
      <c r="AE63" t="s">
        <v>71</v>
      </c>
    </row>
    <row r="64" spans="1:31" x14ac:dyDescent="0.45">
      <c r="A64">
        <v>977612</v>
      </c>
      <c r="B64" t="s">
        <v>327</v>
      </c>
      <c r="C64" t="s">
        <v>211</v>
      </c>
      <c r="D64" t="s">
        <v>328</v>
      </c>
      <c r="E64" t="s">
        <v>320</v>
      </c>
      <c r="F64" t="s">
        <v>329</v>
      </c>
      <c r="G64" t="s">
        <v>330</v>
      </c>
      <c r="H64" t="s">
        <v>331</v>
      </c>
      <c r="I64" t="s">
        <v>64</v>
      </c>
      <c r="J64" t="s">
        <v>332</v>
      </c>
      <c r="L64" t="s">
        <v>333</v>
      </c>
      <c r="O64" t="s">
        <v>334</v>
      </c>
      <c r="P64" t="s">
        <v>335</v>
      </c>
      <c r="Q64" t="s">
        <v>336</v>
      </c>
      <c r="S64">
        <v>15386</v>
      </c>
      <c r="T64" t="s">
        <v>98</v>
      </c>
      <c r="U64" t="s">
        <v>70</v>
      </c>
      <c r="W64" s="23">
        <v>18629</v>
      </c>
      <c r="X64" t="s">
        <v>337</v>
      </c>
      <c r="Y64" s="23">
        <v>41018</v>
      </c>
      <c r="Z64" s="23">
        <v>2958465</v>
      </c>
      <c r="AA64" s="23">
        <v>42976</v>
      </c>
      <c r="AB64" s="21">
        <v>37</v>
      </c>
      <c r="AC64">
        <v>89921</v>
      </c>
      <c r="AD64" t="s">
        <v>71</v>
      </c>
      <c r="AE64" t="s">
        <v>71</v>
      </c>
    </row>
    <row r="65" spans="1:31" x14ac:dyDescent="0.45">
      <c r="A65">
        <v>977618</v>
      </c>
      <c r="B65" t="s">
        <v>338</v>
      </c>
      <c r="C65" t="s">
        <v>58</v>
      </c>
      <c r="D65" t="s">
        <v>339</v>
      </c>
      <c r="E65" t="s">
        <v>1</v>
      </c>
      <c r="F65" t="s">
        <v>102</v>
      </c>
      <c r="G65" t="s">
        <v>103</v>
      </c>
      <c r="H65" t="s">
        <v>340</v>
      </c>
      <c r="I65" t="s">
        <v>130</v>
      </c>
      <c r="J65" t="s">
        <v>156</v>
      </c>
      <c r="L65" t="s">
        <v>341</v>
      </c>
      <c r="O65" t="s">
        <v>342</v>
      </c>
      <c r="P65" t="s">
        <v>343</v>
      </c>
      <c r="S65">
        <v>15386</v>
      </c>
      <c r="T65" t="s">
        <v>98</v>
      </c>
      <c r="U65" t="s">
        <v>70</v>
      </c>
      <c r="W65" s="23">
        <v>18629</v>
      </c>
      <c r="X65" t="s">
        <v>344</v>
      </c>
      <c r="Y65" s="23">
        <v>18629</v>
      </c>
      <c r="Z65" s="23">
        <v>2958465</v>
      </c>
      <c r="AA65" s="23">
        <v>42976</v>
      </c>
      <c r="AB65" s="21">
        <v>37</v>
      </c>
      <c r="AC65">
        <v>24957</v>
      </c>
      <c r="AD65" t="s">
        <v>71</v>
      </c>
      <c r="AE65" t="s">
        <v>71</v>
      </c>
    </row>
    <row r="66" spans="1:31" x14ac:dyDescent="0.45">
      <c r="A66">
        <v>977627</v>
      </c>
      <c r="B66" t="s">
        <v>361</v>
      </c>
      <c r="C66" t="s">
        <v>58</v>
      </c>
      <c r="D66" t="s">
        <v>362</v>
      </c>
      <c r="E66" t="s">
        <v>320</v>
      </c>
      <c r="F66" t="s">
        <v>363</v>
      </c>
      <c r="G66" t="s">
        <v>364</v>
      </c>
      <c r="H66" t="s">
        <v>365</v>
      </c>
      <c r="I66" t="s">
        <v>64</v>
      </c>
      <c r="J66" t="s">
        <v>359</v>
      </c>
      <c r="L66" t="s">
        <v>366</v>
      </c>
      <c r="O66" t="s">
        <v>367</v>
      </c>
      <c r="P66" t="s">
        <v>368</v>
      </c>
      <c r="S66">
        <v>15385</v>
      </c>
      <c r="T66" t="s">
        <v>69</v>
      </c>
      <c r="U66" t="s">
        <v>70</v>
      </c>
      <c r="W66" s="23">
        <v>18629</v>
      </c>
      <c r="X66">
        <v>503771112</v>
      </c>
      <c r="Y66" s="23">
        <v>18629</v>
      </c>
      <c r="Z66" s="23">
        <v>2958465</v>
      </c>
      <c r="AA66" s="23">
        <v>42976</v>
      </c>
      <c r="AB66" s="21">
        <v>37</v>
      </c>
      <c r="AC66">
        <v>49297</v>
      </c>
      <c r="AD66" t="s">
        <v>71</v>
      </c>
      <c r="AE66" t="s">
        <v>71</v>
      </c>
    </row>
    <row r="67" spans="1:31" x14ac:dyDescent="0.45">
      <c r="A67">
        <v>977664</v>
      </c>
      <c r="B67" t="s">
        <v>369</v>
      </c>
      <c r="C67" t="s">
        <v>90</v>
      </c>
      <c r="D67" t="s">
        <v>370</v>
      </c>
      <c r="E67" t="s">
        <v>320</v>
      </c>
      <c r="F67" t="s">
        <v>371</v>
      </c>
      <c r="G67" t="s">
        <v>372</v>
      </c>
      <c r="H67" t="s">
        <v>373</v>
      </c>
      <c r="I67" t="s">
        <v>64</v>
      </c>
      <c r="J67" t="s">
        <v>359</v>
      </c>
      <c r="L67" t="s">
        <v>374</v>
      </c>
      <c r="M67" t="s">
        <v>375</v>
      </c>
      <c r="O67" t="s">
        <v>334</v>
      </c>
      <c r="P67" t="s">
        <v>376</v>
      </c>
      <c r="Q67">
        <v>1242465204</v>
      </c>
      <c r="S67">
        <v>15386</v>
      </c>
      <c r="T67" t="s">
        <v>98</v>
      </c>
      <c r="U67" t="s">
        <v>70</v>
      </c>
      <c r="W67" s="23">
        <v>18629</v>
      </c>
      <c r="X67" t="s">
        <v>377</v>
      </c>
      <c r="Y67" s="23">
        <v>42290</v>
      </c>
      <c r="Z67" s="23">
        <v>2958465</v>
      </c>
      <c r="AA67" s="23">
        <v>42976</v>
      </c>
      <c r="AB67" s="21">
        <v>37</v>
      </c>
      <c r="AC67">
        <v>86746</v>
      </c>
      <c r="AD67" t="s">
        <v>71</v>
      </c>
      <c r="AE67" t="s">
        <v>71</v>
      </c>
    </row>
    <row r="68" spans="1:31" x14ac:dyDescent="0.45">
      <c r="A68">
        <v>977829</v>
      </c>
      <c r="B68" t="s">
        <v>378</v>
      </c>
      <c r="C68" t="s">
        <v>379</v>
      </c>
      <c r="D68" t="s">
        <v>380</v>
      </c>
      <c r="E68" t="s">
        <v>1</v>
      </c>
      <c r="F68" t="s">
        <v>102</v>
      </c>
      <c r="G68" t="s">
        <v>103</v>
      </c>
      <c r="H68" t="s">
        <v>104</v>
      </c>
      <c r="I68" t="s">
        <v>64</v>
      </c>
      <c r="J68" t="s">
        <v>105</v>
      </c>
      <c r="L68" t="s">
        <v>381</v>
      </c>
      <c r="O68" t="s">
        <v>382</v>
      </c>
      <c r="P68" t="s">
        <v>383</v>
      </c>
      <c r="S68">
        <v>15386</v>
      </c>
      <c r="T68" t="s">
        <v>98</v>
      </c>
      <c r="U68" t="s">
        <v>70</v>
      </c>
      <c r="W68" s="23">
        <v>18629</v>
      </c>
      <c r="X68" t="s">
        <v>384</v>
      </c>
      <c r="Y68" s="23">
        <v>42276</v>
      </c>
      <c r="Z68" s="23">
        <v>2958465</v>
      </c>
      <c r="AA68" s="23">
        <v>42976</v>
      </c>
      <c r="AB68" s="21">
        <v>37</v>
      </c>
      <c r="AC68">
        <v>26836</v>
      </c>
      <c r="AD68" t="s">
        <v>71</v>
      </c>
      <c r="AE68" t="s">
        <v>71</v>
      </c>
    </row>
    <row r="69" spans="1:31" x14ac:dyDescent="0.45">
      <c r="A69">
        <v>977904</v>
      </c>
      <c r="B69" t="s">
        <v>385</v>
      </c>
      <c r="C69" t="s">
        <v>211</v>
      </c>
      <c r="D69" t="s">
        <v>386</v>
      </c>
      <c r="E69" t="s">
        <v>1</v>
      </c>
      <c r="F69" t="s">
        <v>102</v>
      </c>
      <c r="G69" t="s">
        <v>103</v>
      </c>
      <c r="H69" t="s">
        <v>104</v>
      </c>
      <c r="I69" t="s">
        <v>64</v>
      </c>
      <c r="J69" t="s">
        <v>387</v>
      </c>
      <c r="L69" t="s">
        <v>388</v>
      </c>
      <c r="O69" t="s">
        <v>389</v>
      </c>
      <c r="P69" t="s">
        <v>390</v>
      </c>
      <c r="Q69" t="s">
        <v>391</v>
      </c>
      <c r="S69">
        <v>15386</v>
      </c>
      <c r="T69" t="s">
        <v>98</v>
      </c>
      <c r="U69" t="s">
        <v>70</v>
      </c>
      <c r="W69" s="23">
        <v>18629</v>
      </c>
      <c r="X69" t="s">
        <v>392</v>
      </c>
      <c r="Y69" s="23">
        <v>41196</v>
      </c>
      <c r="Z69" s="23">
        <v>2958465</v>
      </c>
      <c r="AA69" s="23">
        <v>42976</v>
      </c>
      <c r="AB69" s="21">
        <v>37</v>
      </c>
      <c r="AC69">
        <v>25531</v>
      </c>
      <c r="AD69" t="s">
        <v>71</v>
      </c>
      <c r="AE69" t="s">
        <v>71</v>
      </c>
    </row>
    <row r="70" spans="1:31" x14ac:dyDescent="0.45">
      <c r="A70">
        <v>977984</v>
      </c>
      <c r="B70" t="s">
        <v>393</v>
      </c>
      <c r="C70" t="s">
        <v>83</v>
      </c>
      <c r="D70" t="s">
        <v>394</v>
      </c>
      <c r="E70" t="s">
        <v>1</v>
      </c>
      <c r="F70" t="s">
        <v>102</v>
      </c>
      <c r="G70" t="s">
        <v>103</v>
      </c>
      <c r="H70" t="s">
        <v>194</v>
      </c>
      <c r="I70" t="s">
        <v>130</v>
      </c>
      <c r="J70" t="s">
        <v>105</v>
      </c>
      <c r="L70" t="s">
        <v>395</v>
      </c>
      <c r="O70" t="s">
        <v>196</v>
      </c>
      <c r="P70" t="s">
        <v>396</v>
      </c>
      <c r="S70">
        <v>15386</v>
      </c>
      <c r="T70" t="s">
        <v>98</v>
      </c>
      <c r="U70" t="s">
        <v>70</v>
      </c>
      <c r="W70" s="23">
        <v>18629</v>
      </c>
      <c r="X70" t="s">
        <v>397</v>
      </c>
      <c r="Y70" s="23">
        <v>42726</v>
      </c>
      <c r="Z70" s="23">
        <v>2958465</v>
      </c>
      <c r="AA70" s="23">
        <v>42976</v>
      </c>
      <c r="AB70" s="21">
        <v>37</v>
      </c>
      <c r="AC70">
        <v>26836</v>
      </c>
      <c r="AD70" t="s">
        <v>71</v>
      </c>
      <c r="AE70" t="s">
        <v>71</v>
      </c>
    </row>
    <row r="71" spans="1:31" x14ac:dyDescent="0.45">
      <c r="A71">
        <v>978150</v>
      </c>
      <c r="B71" t="s">
        <v>398</v>
      </c>
      <c r="C71" t="s">
        <v>399</v>
      </c>
      <c r="D71" t="s">
        <v>400</v>
      </c>
      <c r="E71" t="s">
        <v>1</v>
      </c>
      <c r="F71" t="s">
        <v>74</v>
      </c>
      <c r="G71" t="s">
        <v>401</v>
      </c>
      <c r="H71" t="s">
        <v>402</v>
      </c>
      <c r="I71" t="s">
        <v>130</v>
      </c>
      <c r="J71" t="s">
        <v>105</v>
      </c>
      <c r="L71" t="s">
        <v>403</v>
      </c>
      <c r="O71" t="s">
        <v>122</v>
      </c>
      <c r="P71" t="s">
        <v>404</v>
      </c>
      <c r="Q71">
        <v>1903533811</v>
      </c>
      <c r="S71">
        <v>15386</v>
      </c>
      <c r="T71" t="s">
        <v>98</v>
      </c>
      <c r="U71" t="s">
        <v>70</v>
      </c>
      <c r="W71" s="23">
        <v>18629</v>
      </c>
      <c r="X71" t="s">
        <v>405</v>
      </c>
      <c r="Y71" s="23">
        <v>40652</v>
      </c>
      <c r="Z71" s="23">
        <v>2958465</v>
      </c>
      <c r="AA71" s="23">
        <v>42976</v>
      </c>
      <c r="AB71" s="21">
        <v>37</v>
      </c>
      <c r="AC71">
        <v>26836</v>
      </c>
      <c r="AD71" t="s">
        <v>71</v>
      </c>
      <c r="AE71" t="s">
        <v>71</v>
      </c>
    </row>
    <row r="72" spans="1:31" x14ac:dyDescent="0.45">
      <c r="A72">
        <v>978182</v>
      </c>
      <c r="B72" t="s">
        <v>406</v>
      </c>
      <c r="C72" t="s">
        <v>312</v>
      </c>
      <c r="D72" t="s">
        <v>407</v>
      </c>
      <c r="E72" t="s">
        <v>1</v>
      </c>
      <c r="F72" t="s">
        <v>102</v>
      </c>
      <c r="G72" t="s">
        <v>170</v>
      </c>
      <c r="H72" t="s">
        <v>408</v>
      </c>
      <c r="I72" t="s">
        <v>64</v>
      </c>
      <c r="J72" t="s">
        <v>77</v>
      </c>
      <c r="L72" t="s">
        <v>409</v>
      </c>
      <c r="M72" t="s">
        <v>410</v>
      </c>
      <c r="O72" t="s">
        <v>80</v>
      </c>
      <c r="P72" t="s">
        <v>411</v>
      </c>
      <c r="Q72" t="s">
        <v>412</v>
      </c>
      <c r="S72">
        <v>15385</v>
      </c>
      <c r="T72" t="s">
        <v>69</v>
      </c>
      <c r="U72" t="s">
        <v>70</v>
      </c>
      <c r="W72" s="23">
        <v>18629</v>
      </c>
      <c r="X72">
        <v>509434213</v>
      </c>
      <c r="Y72" s="23">
        <v>40983</v>
      </c>
      <c r="Z72" s="23">
        <v>2958465</v>
      </c>
      <c r="AA72" s="23">
        <v>42976</v>
      </c>
      <c r="AB72" s="21">
        <v>37</v>
      </c>
      <c r="AC72">
        <v>32932</v>
      </c>
      <c r="AD72" t="s">
        <v>71</v>
      </c>
      <c r="AE72" t="s">
        <v>71</v>
      </c>
    </row>
    <row r="73" spans="1:31" x14ac:dyDescent="0.45">
      <c r="A73">
        <v>978192</v>
      </c>
      <c r="B73" t="s">
        <v>413</v>
      </c>
      <c r="C73" t="s">
        <v>399</v>
      </c>
      <c r="D73" t="s">
        <v>414</v>
      </c>
      <c r="E73" t="s">
        <v>0</v>
      </c>
      <c r="F73" t="s">
        <v>415</v>
      </c>
      <c r="G73" t="s">
        <v>416</v>
      </c>
      <c r="H73" t="s">
        <v>417</v>
      </c>
      <c r="I73" t="s">
        <v>64</v>
      </c>
      <c r="J73" t="s">
        <v>332</v>
      </c>
      <c r="L73" t="s">
        <v>418</v>
      </c>
      <c r="M73" t="s">
        <v>419</v>
      </c>
      <c r="O73" t="s">
        <v>420</v>
      </c>
      <c r="P73" t="s">
        <v>421</v>
      </c>
      <c r="Q73">
        <v>1285861246</v>
      </c>
      <c r="S73">
        <v>15386</v>
      </c>
      <c r="T73" t="s">
        <v>98</v>
      </c>
      <c r="U73" t="s">
        <v>70</v>
      </c>
      <c r="W73" s="23">
        <v>18629</v>
      </c>
      <c r="X73" t="s">
        <v>422</v>
      </c>
      <c r="Y73" s="23">
        <v>39610</v>
      </c>
      <c r="Z73" s="23">
        <v>2958465</v>
      </c>
      <c r="AA73" s="23">
        <v>42976</v>
      </c>
      <c r="AB73" s="21">
        <v>37</v>
      </c>
      <c r="AC73">
        <v>72955</v>
      </c>
      <c r="AD73" t="s">
        <v>71</v>
      </c>
      <c r="AE73" t="s">
        <v>71</v>
      </c>
    </row>
    <row r="74" spans="1:31" x14ac:dyDescent="0.45">
      <c r="A74">
        <v>978243</v>
      </c>
      <c r="B74" t="s">
        <v>423</v>
      </c>
      <c r="C74" t="s">
        <v>83</v>
      </c>
      <c r="D74" t="s">
        <v>424</v>
      </c>
      <c r="E74" t="s">
        <v>320</v>
      </c>
      <c r="F74" t="s">
        <v>356</v>
      </c>
      <c r="G74" t="s">
        <v>425</v>
      </c>
      <c r="H74" t="s">
        <v>426</v>
      </c>
      <c r="I74" t="s">
        <v>64</v>
      </c>
      <c r="J74" t="s">
        <v>359</v>
      </c>
      <c r="K74" t="s">
        <v>427</v>
      </c>
      <c r="L74" t="s">
        <v>428</v>
      </c>
      <c r="O74" t="s">
        <v>429</v>
      </c>
      <c r="P74" t="s">
        <v>430</v>
      </c>
      <c r="S74">
        <v>15385</v>
      </c>
      <c r="T74" t="s">
        <v>69</v>
      </c>
      <c r="U74" t="s">
        <v>70</v>
      </c>
      <c r="W74" s="23">
        <v>18629</v>
      </c>
      <c r="Y74" s="23">
        <v>18629</v>
      </c>
      <c r="Z74" s="23">
        <v>2958465</v>
      </c>
      <c r="AA74" s="23">
        <v>42976</v>
      </c>
      <c r="AB74" s="21">
        <v>37</v>
      </c>
      <c r="AC74">
        <v>53500</v>
      </c>
      <c r="AD74" t="s">
        <v>71</v>
      </c>
      <c r="AE74" t="s">
        <v>71</v>
      </c>
    </row>
    <row r="75" spans="1:31" x14ac:dyDescent="0.45">
      <c r="A75">
        <v>978275</v>
      </c>
      <c r="B75" t="s">
        <v>431</v>
      </c>
      <c r="C75" t="s">
        <v>83</v>
      </c>
      <c r="D75" t="s">
        <v>432</v>
      </c>
      <c r="E75" t="s">
        <v>433</v>
      </c>
      <c r="F75" t="s">
        <v>434</v>
      </c>
      <c r="G75" t="s">
        <v>435</v>
      </c>
      <c r="H75" t="s">
        <v>436</v>
      </c>
      <c r="I75" t="s">
        <v>64</v>
      </c>
      <c r="J75" t="s">
        <v>437</v>
      </c>
      <c r="L75" t="s">
        <v>438</v>
      </c>
      <c r="M75" t="s">
        <v>439</v>
      </c>
      <c r="O75" t="s">
        <v>440</v>
      </c>
      <c r="P75" t="s">
        <v>441</v>
      </c>
      <c r="S75">
        <v>15386</v>
      </c>
      <c r="T75" t="s">
        <v>98</v>
      </c>
      <c r="U75" t="s">
        <v>70</v>
      </c>
      <c r="W75" s="23">
        <v>18629</v>
      </c>
      <c r="X75" t="s">
        <v>442</v>
      </c>
      <c r="Y75" s="23">
        <v>42903</v>
      </c>
      <c r="Z75" s="23">
        <v>2958465</v>
      </c>
      <c r="AA75" s="23">
        <v>42976</v>
      </c>
      <c r="AB75" s="21">
        <v>37</v>
      </c>
      <c r="AC75">
        <v>55000</v>
      </c>
      <c r="AD75" t="s">
        <v>71</v>
      </c>
      <c r="AE75" t="s">
        <v>71</v>
      </c>
    </row>
    <row r="76" spans="1:31" x14ac:dyDescent="0.45">
      <c r="A76">
        <v>978615</v>
      </c>
      <c r="B76" t="s">
        <v>443</v>
      </c>
      <c r="C76" t="s">
        <v>90</v>
      </c>
      <c r="D76" t="s">
        <v>444</v>
      </c>
      <c r="E76" t="s">
        <v>1</v>
      </c>
      <c r="F76" t="s">
        <v>127</v>
      </c>
      <c r="G76" t="s">
        <v>128</v>
      </c>
      <c r="H76" t="s">
        <v>445</v>
      </c>
      <c r="I76" t="s">
        <v>64</v>
      </c>
      <c r="J76" t="s">
        <v>180</v>
      </c>
      <c r="L76" t="s">
        <v>446</v>
      </c>
      <c r="O76" t="s">
        <v>447</v>
      </c>
      <c r="P76" t="s">
        <v>448</v>
      </c>
      <c r="Q76">
        <v>1737354614</v>
      </c>
      <c r="S76">
        <v>15385</v>
      </c>
      <c r="T76" t="s">
        <v>69</v>
      </c>
      <c r="U76" t="s">
        <v>70</v>
      </c>
      <c r="W76" s="23">
        <v>18629</v>
      </c>
      <c r="Y76" s="23">
        <v>41967</v>
      </c>
      <c r="Z76" s="23">
        <v>2958465</v>
      </c>
      <c r="AA76" s="23">
        <v>42976</v>
      </c>
      <c r="AB76" s="21">
        <v>37</v>
      </c>
      <c r="AC76">
        <v>55848</v>
      </c>
      <c r="AD76" t="s">
        <v>71</v>
      </c>
      <c r="AE76" t="s">
        <v>71</v>
      </c>
    </row>
    <row r="77" spans="1:31" x14ac:dyDescent="0.45">
      <c r="A77">
        <v>978697</v>
      </c>
      <c r="B77" t="s">
        <v>449</v>
      </c>
      <c r="C77" t="s">
        <v>58</v>
      </c>
      <c r="D77" t="s">
        <v>73</v>
      </c>
      <c r="E77" t="s">
        <v>1</v>
      </c>
      <c r="F77" t="s">
        <v>74</v>
      </c>
      <c r="G77" t="s">
        <v>75</v>
      </c>
      <c r="H77" t="s">
        <v>450</v>
      </c>
      <c r="I77" t="s">
        <v>64</v>
      </c>
      <c r="J77" t="s">
        <v>77</v>
      </c>
      <c r="L77" t="s">
        <v>451</v>
      </c>
      <c r="M77" t="s">
        <v>452</v>
      </c>
      <c r="O77" t="s">
        <v>80</v>
      </c>
      <c r="P77" t="s">
        <v>453</v>
      </c>
      <c r="Q77">
        <v>2035839261</v>
      </c>
      <c r="S77">
        <v>15385</v>
      </c>
      <c r="T77" t="s">
        <v>69</v>
      </c>
      <c r="U77" t="s">
        <v>70</v>
      </c>
      <c r="W77" s="23">
        <v>18629</v>
      </c>
      <c r="Y77" s="23">
        <v>18629</v>
      </c>
      <c r="Z77" s="23">
        <v>2958465</v>
      </c>
      <c r="AA77" s="23">
        <v>42976</v>
      </c>
      <c r="AB77" s="21">
        <v>37</v>
      </c>
      <c r="AC77">
        <v>25483</v>
      </c>
      <c r="AD77" t="s">
        <v>71</v>
      </c>
      <c r="AE77" t="s">
        <v>71</v>
      </c>
    </row>
    <row r="78" spans="1:31" x14ac:dyDescent="0.45">
      <c r="A78">
        <v>978759</v>
      </c>
      <c r="B78" t="s">
        <v>454</v>
      </c>
      <c r="C78" t="s">
        <v>90</v>
      </c>
      <c r="D78" t="s">
        <v>455</v>
      </c>
      <c r="E78" t="s">
        <v>0</v>
      </c>
      <c r="F78" t="s">
        <v>456</v>
      </c>
      <c r="G78" t="s">
        <v>457</v>
      </c>
      <c r="H78" t="s">
        <v>458</v>
      </c>
      <c r="I78" t="s">
        <v>64</v>
      </c>
      <c r="J78" t="s">
        <v>459</v>
      </c>
      <c r="L78" t="s">
        <v>460</v>
      </c>
      <c r="M78" t="s">
        <v>461</v>
      </c>
      <c r="N78" t="s">
        <v>462</v>
      </c>
      <c r="O78" t="s">
        <v>80</v>
      </c>
      <c r="P78" t="s">
        <v>463</v>
      </c>
      <c r="S78">
        <v>15386</v>
      </c>
      <c r="T78" t="s">
        <v>98</v>
      </c>
      <c r="U78" t="s">
        <v>70</v>
      </c>
      <c r="W78" s="23">
        <v>18629</v>
      </c>
      <c r="X78" t="s">
        <v>464</v>
      </c>
      <c r="Y78" s="23">
        <v>42746</v>
      </c>
      <c r="Z78" s="23">
        <v>2958465</v>
      </c>
      <c r="AA78" s="23">
        <v>42976</v>
      </c>
      <c r="AB78" s="21">
        <v>37</v>
      </c>
      <c r="AC78">
        <v>60287</v>
      </c>
      <c r="AD78" t="s">
        <v>71</v>
      </c>
      <c r="AE78" t="s">
        <v>71</v>
      </c>
    </row>
    <row r="79" spans="1:31" x14ac:dyDescent="0.45">
      <c r="A79">
        <v>978985</v>
      </c>
      <c r="B79" t="s">
        <v>476</v>
      </c>
      <c r="C79" t="s">
        <v>256</v>
      </c>
      <c r="D79" t="s">
        <v>477</v>
      </c>
      <c r="E79" t="s">
        <v>1</v>
      </c>
      <c r="F79" t="s">
        <v>102</v>
      </c>
      <c r="G79" t="s">
        <v>103</v>
      </c>
      <c r="H79" t="s">
        <v>478</v>
      </c>
      <c r="I79" t="s">
        <v>64</v>
      </c>
      <c r="J79" t="s">
        <v>156</v>
      </c>
      <c r="L79" t="s">
        <v>479</v>
      </c>
      <c r="M79" t="s">
        <v>480</v>
      </c>
      <c r="O79" t="s">
        <v>342</v>
      </c>
      <c r="P79" t="s">
        <v>481</v>
      </c>
      <c r="S79">
        <v>15386</v>
      </c>
      <c r="T79" t="s">
        <v>98</v>
      </c>
      <c r="U79" t="s">
        <v>70</v>
      </c>
      <c r="W79" s="23">
        <v>18629</v>
      </c>
      <c r="X79" t="s">
        <v>482</v>
      </c>
      <c r="Y79" s="23">
        <v>42283</v>
      </c>
      <c r="Z79" s="23">
        <v>2958465</v>
      </c>
      <c r="AA79" s="23">
        <v>42976</v>
      </c>
      <c r="AB79" s="21">
        <v>37</v>
      </c>
      <c r="AC79">
        <v>33376</v>
      </c>
      <c r="AD79" t="s">
        <v>71</v>
      </c>
      <c r="AE79" t="s">
        <v>71</v>
      </c>
    </row>
    <row r="80" spans="1:31" x14ac:dyDescent="0.45">
      <c r="A80">
        <v>979069</v>
      </c>
      <c r="B80" t="s">
        <v>483</v>
      </c>
      <c r="C80" t="s">
        <v>484</v>
      </c>
      <c r="D80" t="s">
        <v>485</v>
      </c>
      <c r="E80" t="s">
        <v>0</v>
      </c>
      <c r="F80" t="s">
        <v>415</v>
      </c>
      <c r="G80" t="s">
        <v>416</v>
      </c>
      <c r="H80" t="s">
        <v>486</v>
      </c>
      <c r="I80" t="s">
        <v>64</v>
      </c>
      <c r="J80" t="s">
        <v>487</v>
      </c>
      <c r="L80" t="s">
        <v>488</v>
      </c>
      <c r="M80" t="s">
        <v>489</v>
      </c>
      <c r="O80" t="s">
        <v>490</v>
      </c>
      <c r="P80" t="s">
        <v>491</v>
      </c>
      <c r="S80">
        <v>15385</v>
      </c>
      <c r="T80" t="s">
        <v>69</v>
      </c>
      <c r="U80" t="s">
        <v>70</v>
      </c>
      <c r="W80" s="23">
        <v>18629</v>
      </c>
      <c r="Y80" s="23">
        <v>18629</v>
      </c>
      <c r="Z80" s="23">
        <v>2958465</v>
      </c>
      <c r="AA80" s="23">
        <v>42976</v>
      </c>
      <c r="AB80" s="21">
        <v>37</v>
      </c>
      <c r="AC80">
        <v>50248</v>
      </c>
      <c r="AD80" t="s">
        <v>71</v>
      </c>
      <c r="AE80" t="s">
        <v>71</v>
      </c>
    </row>
    <row r="81" spans="1:31" x14ac:dyDescent="0.45">
      <c r="A81">
        <v>979188</v>
      </c>
      <c r="B81" t="s">
        <v>492</v>
      </c>
      <c r="C81" t="s">
        <v>278</v>
      </c>
      <c r="D81" t="s">
        <v>493</v>
      </c>
      <c r="E81" t="s">
        <v>1</v>
      </c>
      <c r="F81" t="s">
        <v>102</v>
      </c>
      <c r="G81" t="s">
        <v>258</v>
      </c>
      <c r="H81" t="s">
        <v>494</v>
      </c>
      <c r="I81" t="s">
        <v>64</v>
      </c>
      <c r="J81" t="s">
        <v>156</v>
      </c>
      <c r="L81" t="s">
        <v>495</v>
      </c>
      <c r="O81" t="s">
        <v>159</v>
      </c>
      <c r="P81" t="s">
        <v>496</v>
      </c>
      <c r="Q81">
        <v>1915653279</v>
      </c>
      <c r="S81">
        <v>15385</v>
      </c>
      <c r="T81" t="s">
        <v>69</v>
      </c>
      <c r="U81" t="s">
        <v>70</v>
      </c>
      <c r="W81" s="23">
        <v>18629</v>
      </c>
      <c r="Y81" s="23">
        <v>18629</v>
      </c>
      <c r="Z81" s="23">
        <v>2958465</v>
      </c>
      <c r="AA81" s="23">
        <v>42976</v>
      </c>
      <c r="AB81" s="21">
        <v>37</v>
      </c>
      <c r="AC81">
        <v>36800</v>
      </c>
      <c r="AD81" t="s">
        <v>71</v>
      </c>
      <c r="AE81" t="s">
        <v>71</v>
      </c>
    </row>
    <row r="82" spans="1:31" x14ac:dyDescent="0.45">
      <c r="A82">
        <v>979267</v>
      </c>
      <c r="B82" t="s">
        <v>497</v>
      </c>
      <c r="C82" t="s">
        <v>90</v>
      </c>
      <c r="D82" t="s">
        <v>498</v>
      </c>
      <c r="E82" t="s">
        <v>0</v>
      </c>
      <c r="F82" t="s">
        <v>415</v>
      </c>
      <c r="G82" t="s">
        <v>499</v>
      </c>
      <c r="H82" t="s">
        <v>500</v>
      </c>
      <c r="I82" t="s">
        <v>64</v>
      </c>
      <c r="J82" t="s">
        <v>501</v>
      </c>
      <c r="L82" t="s">
        <v>502</v>
      </c>
      <c r="M82" t="s">
        <v>503</v>
      </c>
      <c r="O82" t="s">
        <v>504</v>
      </c>
      <c r="P82" t="s">
        <v>505</v>
      </c>
      <c r="Q82">
        <v>1278652390</v>
      </c>
      <c r="S82">
        <v>15385</v>
      </c>
      <c r="T82" t="s">
        <v>69</v>
      </c>
      <c r="U82" t="s">
        <v>70</v>
      </c>
      <c r="W82" s="23">
        <v>18629</v>
      </c>
      <c r="Y82" s="23">
        <v>42765</v>
      </c>
      <c r="Z82" s="23">
        <v>2958465</v>
      </c>
      <c r="AA82" s="23">
        <v>42976</v>
      </c>
      <c r="AB82" s="21">
        <v>37</v>
      </c>
      <c r="AC82">
        <v>50731</v>
      </c>
      <c r="AD82" t="s">
        <v>71</v>
      </c>
      <c r="AE82" t="s">
        <v>71</v>
      </c>
    </row>
    <row r="83" spans="1:31" x14ac:dyDescent="0.45">
      <c r="A83">
        <v>979590</v>
      </c>
      <c r="B83" t="s">
        <v>515</v>
      </c>
      <c r="C83" t="s">
        <v>58</v>
      </c>
      <c r="D83" t="s">
        <v>516</v>
      </c>
      <c r="E83" t="s">
        <v>517</v>
      </c>
      <c r="F83" t="s">
        <v>518</v>
      </c>
      <c r="G83" t="s">
        <v>519</v>
      </c>
      <c r="H83" t="s">
        <v>520</v>
      </c>
      <c r="I83" t="s">
        <v>64</v>
      </c>
      <c r="J83" t="s">
        <v>180</v>
      </c>
      <c r="L83" t="s">
        <v>521</v>
      </c>
      <c r="O83" t="s">
        <v>522</v>
      </c>
      <c r="P83" t="s">
        <v>523</v>
      </c>
      <c r="S83">
        <v>15386</v>
      </c>
      <c r="T83" t="s">
        <v>98</v>
      </c>
      <c r="U83" t="s">
        <v>70</v>
      </c>
      <c r="W83" s="23">
        <v>18629</v>
      </c>
      <c r="X83" t="s">
        <v>524</v>
      </c>
      <c r="Y83" s="23">
        <v>41284</v>
      </c>
      <c r="Z83" s="23">
        <v>2958465</v>
      </c>
      <c r="AA83" s="23">
        <v>42976</v>
      </c>
      <c r="AB83" s="21">
        <v>37</v>
      </c>
      <c r="AC83">
        <v>24700</v>
      </c>
      <c r="AD83" t="s">
        <v>71</v>
      </c>
      <c r="AE83" t="s">
        <v>71</v>
      </c>
    </row>
    <row r="84" spans="1:31" x14ac:dyDescent="0.45">
      <c r="A84">
        <v>990132</v>
      </c>
      <c r="B84" t="s">
        <v>525</v>
      </c>
      <c r="C84" t="s">
        <v>399</v>
      </c>
      <c r="D84" t="s">
        <v>526</v>
      </c>
      <c r="E84" t="s">
        <v>320</v>
      </c>
      <c r="F84" t="s">
        <v>363</v>
      </c>
      <c r="G84" t="s">
        <v>364</v>
      </c>
      <c r="H84" t="s">
        <v>527</v>
      </c>
      <c r="I84" t="s">
        <v>64</v>
      </c>
      <c r="J84" t="s">
        <v>359</v>
      </c>
      <c r="L84" t="s">
        <v>528</v>
      </c>
      <c r="M84" t="s">
        <v>529</v>
      </c>
      <c r="O84" t="s">
        <v>530</v>
      </c>
      <c r="P84" t="s">
        <v>531</v>
      </c>
      <c r="S84">
        <v>15385</v>
      </c>
      <c r="T84" t="s">
        <v>69</v>
      </c>
      <c r="U84" t="s">
        <v>70</v>
      </c>
      <c r="W84" s="23">
        <v>18629</v>
      </c>
      <c r="Y84" s="23">
        <v>42677</v>
      </c>
      <c r="Z84" s="23">
        <v>2958465</v>
      </c>
      <c r="AA84" s="23">
        <v>42976</v>
      </c>
      <c r="AB84" s="21">
        <v>37</v>
      </c>
      <c r="AC84">
        <v>50731</v>
      </c>
      <c r="AD84" t="s">
        <v>71</v>
      </c>
      <c r="AE84" t="s">
        <v>71</v>
      </c>
    </row>
    <row r="85" spans="1:31" x14ac:dyDescent="0.45">
      <c r="A85">
        <v>990387</v>
      </c>
      <c r="B85" t="s">
        <v>569</v>
      </c>
      <c r="C85" t="s">
        <v>83</v>
      </c>
      <c r="D85" t="s">
        <v>570</v>
      </c>
      <c r="E85" t="s">
        <v>0</v>
      </c>
      <c r="F85" t="s">
        <v>60</v>
      </c>
      <c r="G85" t="s">
        <v>571</v>
      </c>
      <c r="H85" t="s">
        <v>572</v>
      </c>
      <c r="I85" t="s">
        <v>64</v>
      </c>
      <c r="J85" t="s">
        <v>573</v>
      </c>
      <c r="L85" t="s">
        <v>574</v>
      </c>
      <c r="O85" t="s">
        <v>575</v>
      </c>
      <c r="P85" t="s">
        <v>576</v>
      </c>
      <c r="S85">
        <v>15386</v>
      </c>
      <c r="T85" t="s">
        <v>98</v>
      </c>
      <c r="U85" t="s">
        <v>70</v>
      </c>
      <c r="W85" s="23">
        <v>18629</v>
      </c>
      <c r="X85" t="s">
        <v>577</v>
      </c>
      <c r="Y85" s="23">
        <v>39562</v>
      </c>
      <c r="Z85" s="23">
        <v>2958465</v>
      </c>
      <c r="AA85" s="23">
        <v>42976</v>
      </c>
      <c r="AB85" s="21">
        <v>37</v>
      </c>
      <c r="AC85">
        <v>35708</v>
      </c>
      <c r="AD85" t="s">
        <v>71</v>
      </c>
      <c r="AE85" t="s">
        <v>71</v>
      </c>
    </row>
    <row r="86" spans="1:31" x14ac:dyDescent="0.45">
      <c r="A86">
        <v>991036</v>
      </c>
      <c r="B86" t="s">
        <v>597</v>
      </c>
      <c r="C86" t="s">
        <v>153</v>
      </c>
      <c r="D86" t="s">
        <v>424</v>
      </c>
      <c r="E86" t="s">
        <v>320</v>
      </c>
      <c r="F86" t="s">
        <v>356</v>
      </c>
      <c r="G86" t="s">
        <v>425</v>
      </c>
      <c r="H86" t="s">
        <v>598</v>
      </c>
      <c r="I86" t="s">
        <v>64</v>
      </c>
      <c r="J86" t="s">
        <v>320</v>
      </c>
      <c r="L86" t="s">
        <v>599</v>
      </c>
      <c r="O86" t="s">
        <v>504</v>
      </c>
      <c r="P86" t="s">
        <v>600</v>
      </c>
      <c r="S86">
        <v>15385</v>
      </c>
      <c r="T86" t="s">
        <v>69</v>
      </c>
      <c r="U86" t="s">
        <v>70</v>
      </c>
      <c r="W86" s="23">
        <v>18629</v>
      </c>
      <c r="Y86" s="23">
        <v>42498</v>
      </c>
      <c r="Z86" s="23">
        <v>2958465</v>
      </c>
      <c r="AA86" s="23">
        <v>42976</v>
      </c>
      <c r="AB86" s="21">
        <v>37</v>
      </c>
      <c r="AC86">
        <v>43651</v>
      </c>
      <c r="AD86" t="s">
        <v>71</v>
      </c>
      <c r="AE86" t="s">
        <v>71</v>
      </c>
    </row>
    <row r="87" spans="1:31" x14ac:dyDescent="0.45">
      <c r="A87">
        <v>991492</v>
      </c>
      <c r="B87" t="s">
        <v>613</v>
      </c>
      <c r="C87" t="s">
        <v>192</v>
      </c>
      <c r="D87" t="s">
        <v>614</v>
      </c>
      <c r="E87" t="s">
        <v>1</v>
      </c>
      <c r="F87" t="s">
        <v>102</v>
      </c>
      <c r="G87" t="s">
        <v>103</v>
      </c>
      <c r="H87" t="s">
        <v>104</v>
      </c>
      <c r="I87" t="s">
        <v>64</v>
      </c>
      <c r="J87" t="s">
        <v>156</v>
      </c>
      <c r="L87" t="s">
        <v>615</v>
      </c>
      <c r="O87" t="s">
        <v>616</v>
      </c>
      <c r="P87" t="s">
        <v>617</v>
      </c>
      <c r="S87">
        <v>15385</v>
      </c>
      <c r="T87" t="s">
        <v>69</v>
      </c>
      <c r="U87" t="s">
        <v>70</v>
      </c>
      <c r="W87" s="23">
        <v>18629</v>
      </c>
      <c r="Y87" s="23">
        <v>18629</v>
      </c>
      <c r="Z87" s="23">
        <v>2958465</v>
      </c>
      <c r="AA87" s="23">
        <v>42976</v>
      </c>
      <c r="AB87" s="21">
        <v>37</v>
      </c>
      <c r="AC87">
        <v>24957</v>
      </c>
      <c r="AD87" t="s">
        <v>71</v>
      </c>
      <c r="AE87" t="s">
        <v>71</v>
      </c>
    </row>
    <row r="88" spans="1:31" x14ac:dyDescent="0.45">
      <c r="A88">
        <v>991535</v>
      </c>
      <c r="B88" t="s">
        <v>618</v>
      </c>
      <c r="C88" t="s">
        <v>399</v>
      </c>
      <c r="D88" t="s">
        <v>619</v>
      </c>
      <c r="E88" t="s">
        <v>1</v>
      </c>
      <c r="F88" t="s">
        <v>620</v>
      </c>
      <c r="G88" t="s">
        <v>621</v>
      </c>
      <c r="H88" t="s">
        <v>622</v>
      </c>
      <c r="I88" t="s">
        <v>64</v>
      </c>
      <c r="J88" t="s">
        <v>65</v>
      </c>
      <c r="L88" t="s">
        <v>623</v>
      </c>
      <c r="M88" t="s">
        <v>624</v>
      </c>
      <c r="O88" t="s">
        <v>80</v>
      </c>
      <c r="P88" t="s">
        <v>625</v>
      </c>
      <c r="S88">
        <v>15386</v>
      </c>
      <c r="T88" t="s">
        <v>98</v>
      </c>
      <c r="U88" t="s">
        <v>70</v>
      </c>
      <c r="W88" s="23">
        <v>18629</v>
      </c>
      <c r="X88" t="s">
        <v>626</v>
      </c>
      <c r="Y88" s="23">
        <v>40982</v>
      </c>
      <c r="Z88" s="23">
        <v>2958465</v>
      </c>
      <c r="AA88" s="23">
        <v>42976</v>
      </c>
      <c r="AB88" s="21">
        <v>37</v>
      </c>
      <c r="AC88">
        <v>91845</v>
      </c>
      <c r="AD88" t="s">
        <v>71</v>
      </c>
      <c r="AE88" t="s">
        <v>71</v>
      </c>
    </row>
    <row r="89" spans="1:31" x14ac:dyDescent="0.45">
      <c r="A89">
        <v>991834</v>
      </c>
      <c r="B89" t="s">
        <v>682</v>
      </c>
      <c r="C89" t="s">
        <v>256</v>
      </c>
      <c r="D89" t="s">
        <v>683</v>
      </c>
      <c r="E89" t="s">
        <v>1</v>
      </c>
      <c r="F89" t="s">
        <v>604</v>
      </c>
      <c r="G89" t="s">
        <v>684</v>
      </c>
      <c r="H89" t="s">
        <v>685</v>
      </c>
      <c r="I89" t="s">
        <v>64</v>
      </c>
      <c r="J89" t="s">
        <v>105</v>
      </c>
      <c r="L89" t="s">
        <v>686</v>
      </c>
      <c r="O89" t="s">
        <v>122</v>
      </c>
      <c r="P89" t="s">
        <v>687</v>
      </c>
      <c r="Q89" t="s">
        <v>688</v>
      </c>
      <c r="S89">
        <v>15385</v>
      </c>
      <c r="T89" t="s">
        <v>69</v>
      </c>
      <c r="U89" t="s">
        <v>70</v>
      </c>
      <c r="W89" s="23">
        <v>18629</v>
      </c>
      <c r="X89" t="s">
        <v>689</v>
      </c>
      <c r="Y89" s="23">
        <v>42765</v>
      </c>
      <c r="Z89" s="23">
        <v>2958465</v>
      </c>
      <c r="AA89" s="23">
        <v>42976</v>
      </c>
      <c r="AB89" s="21">
        <v>37</v>
      </c>
      <c r="AC89">
        <v>36800</v>
      </c>
      <c r="AD89" t="s">
        <v>71</v>
      </c>
      <c r="AE89" t="s">
        <v>71</v>
      </c>
    </row>
    <row r="90" spans="1:31" x14ac:dyDescent="0.45">
      <c r="A90">
        <v>991924</v>
      </c>
      <c r="B90" t="s">
        <v>697</v>
      </c>
      <c r="C90" t="s">
        <v>698</v>
      </c>
      <c r="D90" t="s">
        <v>699</v>
      </c>
      <c r="E90" t="s">
        <v>1</v>
      </c>
      <c r="F90" t="s">
        <v>74</v>
      </c>
      <c r="G90" t="s">
        <v>700</v>
      </c>
      <c r="H90" t="s">
        <v>701</v>
      </c>
      <c r="I90" t="s">
        <v>64</v>
      </c>
      <c r="J90" t="s">
        <v>105</v>
      </c>
      <c r="K90" t="s">
        <v>65</v>
      </c>
      <c r="L90" t="s">
        <v>702</v>
      </c>
      <c r="O90" t="s">
        <v>215</v>
      </c>
      <c r="P90" t="s">
        <v>703</v>
      </c>
      <c r="S90">
        <v>15385</v>
      </c>
      <c r="T90" t="s">
        <v>69</v>
      </c>
      <c r="U90" t="s">
        <v>70</v>
      </c>
      <c r="W90" s="23">
        <v>18629</v>
      </c>
      <c r="Y90" s="23">
        <v>18629</v>
      </c>
      <c r="Z90" s="23">
        <v>2958465</v>
      </c>
      <c r="AA90" s="23">
        <v>42976</v>
      </c>
      <c r="AB90" s="21">
        <v>37</v>
      </c>
      <c r="AC90">
        <v>45484</v>
      </c>
      <c r="AD90" t="s">
        <v>71</v>
      </c>
      <c r="AE90" t="s">
        <v>71</v>
      </c>
    </row>
    <row r="91" spans="1:31" x14ac:dyDescent="0.45">
      <c r="A91">
        <v>991996</v>
      </c>
      <c r="B91" t="s">
        <v>715</v>
      </c>
      <c r="C91" t="s">
        <v>192</v>
      </c>
      <c r="D91" t="s">
        <v>716</v>
      </c>
      <c r="E91" t="s">
        <v>0</v>
      </c>
      <c r="F91" t="s">
        <v>415</v>
      </c>
      <c r="G91" t="s">
        <v>416</v>
      </c>
      <c r="H91" t="s">
        <v>717</v>
      </c>
      <c r="I91" t="s">
        <v>64</v>
      </c>
      <c r="J91" t="s">
        <v>332</v>
      </c>
      <c r="L91" t="s">
        <v>718</v>
      </c>
      <c r="M91" t="s">
        <v>719</v>
      </c>
      <c r="O91" t="s">
        <v>530</v>
      </c>
      <c r="P91" t="s">
        <v>720</v>
      </c>
      <c r="S91">
        <v>15386</v>
      </c>
      <c r="T91" t="s">
        <v>98</v>
      </c>
      <c r="U91" t="s">
        <v>70</v>
      </c>
      <c r="W91" s="23">
        <v>18629</v>
      </c>
      <c r="X91" t="s">
        <v>721</v>
      </c>
      <c r="Y91" s="23">
        <v>42629</v>
      </c>
      <c r="Z91" s="23">
        <v>2958465</v>
      </c>
      <c r="AA91" s="23">
        <v>42976</v>
      </c>
      <c r="AB91" s="21">
        <v>37</v>
      </c>
      <c r="AC91">
        <v>50731</v>
      </c>
      <c r="AD91" t="s">
        <v>71</v>
      </c>
      <c r="AE91" t="s">
        <v>71</v>
      </c>
    </row>
    <row r="92" spans="1:31" x14ac:dyDescent="0.45">
      <c r="A92">
        <v>992665</v>
      </c>
      <c r="B92" t="s">
        <v>728</v>
      </c>
      <c r="C92" t="s">
        <v>90</v>
      </c>
      <c r="D92" t="s">
        <v>729</v>
      </c>
      <c r="E92" t="s">
        <v>1</v>
      </c>
      <c r="F92" t="s">
        <v>102</v>
      </c>
      <c r="G92" t="s">
        <v>103</v>
      </c>
      <c r="H92" t="s">
        <v>104</v>
      </c>
      <c r="I92" t="s">
        <v>64</v>
      </c>
      <c r="J92" t="s">
        <v>131</v>
      </c>
      <c r="L92" t="s">
        <v>730</v>
      </c>
      <c r="O92" t="s">
        <v>133</v>
      </c>
      <c r="P92" t="s">
        <v>731</v>
      </c>
      <c r="S92">
        <v>15385</v>
      </c>
      <c r="T92" t="s">
        <v>69</v>
      </c>
      <c r="U92" t="s">
        <v>70</v>
      </c>
      <c r="W92" s="23">
        <v>18629</v>
      </c>
      <c r="Y92" s="23">
        <v>18629</v>
      </c>
      <c r="Z92" s="23">
        <v>2958465</v>
      </c>
      <c r="AA92" s="23">
        <v>42976</v>
      </c>
      <c r="AB92" s="21">
        <v>37</v>
      </c>
      <c r="AC92">
        <v>25531</v>
      </c>
      <c r="AD92" t="s">
        <v>71</v>
      </c>
      <c r="AE92" t="s">
        <v>71</v>
      </c>
    </row>
    <row r="93" spans="1:31" x14ac:dyDescent="0.45">
      <c r="A93">
        <v>993395</v>
      </c>
      <c r="B93" t="s">
        <v>772</v>
      </c>
      <c r="C93" t="s">
        <v>58</v>
      </c>
      <c r="D93" t="s">
        <v>773</v>
      </c>
      <c r="E93" t="s">
        <v>0</v>
      </c>
      <c r="F93" t="s">
        <v>415</v>
      </c>
      <c r="G93" t="s">
        <v>534</v>
      </c>
      <c r="H93" t="s">
        <v>774</v>
      </c>
      <c r="I93" t="s">
        <v>64</v>
      </c>
      <c r="J93" t="s">
        <v>775</v>
      </c>
      <c r="L93" t="s">
        <v>776</v>
      </c>
      <c r="M93" t="s">
        <v>777</v>
      </c>
      <c r="O93" t="s">
        <v>778</v>
      </c>
      <c r="P93" t="s">
        <v>779</v>
      </c>
      <c r="Q93">
        <v>1797361889</v>
      </c>
      <c r="S93">
        <v>15385</v>
      </c>
      <c r="T93" t="s">
        <v>69</v>
      </c>
      <c r="U93" t="s">
        <v>70</v>
      </c>
      <c r="W93" s="23">
        <v>18629</v>
      </c>
      <c r="X93" t="s">
        <v>780</v>
      </c>
      <c r="Y93" s="23">
        <v>42151</v>
      </c>
      <c r="Z93" s="23">
        <v>2958465</v>
      </c>
      <c r="AA93" s="23">
        <v>42976</v>
      </c>
      <c r="AB93" s="21">
        <v>37</v>
      </c>
      <c r="AC93">
        <v>33446</v>
      </c>
      <c r="AD93" t="s">
        <v>71</v>
      </c>
      <c r="AE93" t="s">
        <v>71</v>
      </c>
    </row>
    <row r="94" spans="1:31" x14ac:dyDescent="0.45">
      <c r="A94">
        <v>993929</v>
      </c>
      <c r="B94" t="s">
        <v>805</v>
      </c>
      <c r="C94" t="s">
        <v>58</v>
      </c>
      <c r="D94" t="s">
        <v>806</v>
      </c>
      <c r="E94" t="s">
        <v>1</v>
      </c>
      <c r="F94" t="s">
        <v>102</v>
      </c>
      <c r="G94" t="s">
        <v>170</v>
      </c>
      <c r="H94" t="s">
        <v>807</v>
      </c>
      <c r="I94" t="s">
        <v>808</v>
      </c>
      <c r="J94" t="s">
        <v>281</v>
      </c>
      <c r="K94" t="s">
        <v>77</v>
      </c>
      <c r="L94" t="s">
        <v>809</v>
      </c>
      <c r="M94" t="s">
        <v>810</v>
      </c>
      <c r="O94" t="s">
        <v>80</v>
      </c>
      <c r="P94" t="s">
        <v>811</v>
      </c>
      <c r="S94">
        <v>15386</v>
      </c>
      <c r="T94" t="s">
        <v>98</v>
      </c>
      <c r="U94" t="s">
        <v>70</v>
      </c>
      <c r="W94" s="23">
        <v>18629</v>
      </c>
      <c r="X94" t="s">
        <v>812</v>
      </c>
      <c r="Y94" s="23">
        <v>42076</v>
      </c>
      <c r="Z94" s="23">
        <v>2958465</v>
      </c>
      <c r="AA94" s="23">
        <v>42976</v>
      </c>
      <c r="AB94" s="21">
        <v>40</v>
      </c>
      <c r="AC94">
        <v>27263</v>
      </c>
      <c r="AD94" t="s">
        <v>71</v>
      </c>
      <c r="AE94" t="s">
        <v>71</v>
      </c>
    </row>
    <row r="95" spans="1:31" x14ac:dyDescent="0.45">
      <c r="A95">
        <v>995008</v>
      </c>
      <c r="B95" t="s">
        <v>854</v>
      </c>
      <c r="C95" t="s">
        <v>58</v>
      </c>
      <c r="D95" t="s">
        <v>855</v>
      </c>
      <c r="E95" t="s">
        <v>1</v>
      </c>
      <c r="F95" t="s">
        <v>102</v>
      </c>
      <c r="G95" t="s">
        <v>170</v>
      </c>
      <c r="H95" t="s">
        <v>807</v>
      </c>
      <c r="I95" t="s">
        <v>808</v>
      </c>
      <c r="J95" t="s">
        <v>281</v>
      </c>
      <c r="K95" t="s">
        <v>131</v>
      </c>
      <c r="L95" t="s">
        <v>856</v>
      </c>
      <c r="O95" t="s">
        <v>133</v>
      </c>
      <c r="P95" t="s">
        <v>857</v>
      </c>
      <c r="S95">
        <v>15386</v>
      </c>
      <c r="T95" t="s">
        <v>98</v>
      </c>
      <c r="U95" t="s">
        <v>70</v>
      </c>
      <c r="W95" s="23">
        <v>18629</v>
      </c>
      <c r="X95" t="s">
        <v>858</v>
      </c>
      <c r="Y95" s="23">
        <v>40764</v>
      </c>
      <c r="Z95" s="23">
        <v>2958465</v>
      </c>
      <c r="AA95" s="23">
        <v>42976</v>
      </c>
      <c r="AB95" s="21">
        <v>40</v>
      </c>
      <c r="AC95">
        <v>27263</v>
      </c>
      <c r="AD95" t="s">
        <v>71</v>
      </c>
      <c r="AE95" t="s">
        <v>71</v>
      </c>
    </row>
    <row r="96" spans="1:31" x14ac:dyDescent="0.45">
      <c r="A96">
        <v>10009327</v>
      </c>
      <c r="B96" t="s">
        <v>895</v>
      </c>
      <c r="C96" t="s">
        <v>153</v>
      </c>
      <c r="D96" t="s">
        <v>896</v>
      </c>
      <c r="E96" t="s">
        <v>0</v>
      </c>
      <c r="F96" t="s">
        <v>415</v>
      </c>
      <c r="G96" t="s">
        <v>416</v>
      </c>
      <c r="H96" t="s">
        <v>897</v>
      </c>
      <c r="I96" t="s">
        <v>64</v>
      </c>
      <c r="J96" t="s">
        <v>898</v>
      </c>
      <c r="L96" t="s">
        <v>899</v>
      </c>
      <c r="O96" t="s">
        <v>900</v>
      </c>
      <c r="P96" t="s">
        <v>901</v>
      </c>
      <c r="S96">
        <v>15385</v>
      </c>
      <c r="T96" t="s">
        <v>69</v>
      </c>
      <c r="U96" t="s">
        <v>70</v>
      </c>
      <c r="W96" s="23">
        <v>18629</v>
      </c>
      <c r="X96">
        <v>111426852</v>
      </c>
      <c r="Y96" s="23">
        <v>40200</v>
      </c>
      <c r="Z96" s="23">
        <v>2958465</v>
      </c>
      <c r="AA96" s="23">
        <v>42976</v>
      </c>
      <c r="AB96" s="21">
        <v>37</v>
      </c>
      <c r="AC96">
        <v>66822</v>
      </c>
      <c r="AD96" t="s">
        <v>71</v>
      </c>
      <c r="AE96" t="s">
        <v>71</v>
      </c>
    </row>
    <row r="97" spans="1:31" x14ac:dyDescent="0.45">
      <c r="A97">
        <v>10009381</v>
      </c>
      <c r="B97" t="s">
        <v>902</v>
      </c>
      <c r="C97" t="s">
        <v>903</v>
      </c>
      <c r="D97" t="s">
        <v>904</v>
      </c>
      <c r="E97" t="s">
        <v>0</v>
      </c>
      <c r="F97" t="s">
        <v>415</v>
      </c>
      <c r="G97" t="s">
        <v>499</v>
      </c>
      <c r="H97" t="s">
        <v>905</v>
      </c>
      <c r="I97" t="s">
        <v>906</v>
      </c>
      <c r="J97" t="s">
        <v>556</v>
      </c>
      <c r="L97" t="s">
        <v>907</v>
      </c>
      <c r="O97" t="s">
        <v>908</v>
      </c>
      <c r="P97" t="s">
        <v>909</v>
      </c>
      <c r="S97">
        <v>15386</v>
      </c>
      <c r="T97" t="s">
        <v>98</v>
      </c>
      <c r="U97" t="s">
        <v>70</v>
      </c>
      <c r="W97" s="23">
        <v>18629</v>
      </c>
      <c r="X97" t="s">
        <v>910</v>
      </c>
      <c r="Y97" s="23">
        <v>18629</v>
      </c>
      <c r="Z97" s="23">
        <v>2958465</v>
      </c>
      <c r="AA97" s="23">
        <v>42976</v>
      </c>
      <c r="AB97" s="21">
        <v>37</v>
      </c>
      <c r="AC97">
        <v>60592</v>
      </c>
      <c r="AD97" t="s">
        <v>71</v>
      </c>
      <c r="AE97" t="s">
        <v>71</v>
      </c>
    </row>
    <row r="98" spans="1:31" x14ac:dyDescent="0.45">
      <c r="A98">
        <v>10011633</v>
      </c>
      <c r="B98" t="s">
        <v>911</v>
      </c>
      <c r="C98" t="s">
        <v>58</v>
      </c>
      <c r="D98" t="s">
        <v>912</v>
      </c>
      <c r="E98" t="s">
        <v>320</v>
      </c>
      <c r="F98" t="s">
        <v>913</v>
      </c>
      <c r="G98" t="s">
        <v>914</v>
      </c>
      <c r="H98" t="s">
        <v>915</v>
      </c>
      <c r="I98" t="s">
        <v>64</v>
      </c>
      <c r="J98" t="s">
        <v>359</v>
      </c>
      <c r="L98" t="s">
        <v>916</v>
      </c>
      <c r="O98" t="s">
        <v>850</v>
      </c>
      <c r="P98" t="s">
        <v>917</v>
      </c>
      <c r="S98">
        <v>15385</v>
      </c>
      <c r="T98" t="s">
        <v>69</v>
      </c>
      <c r="U98" t="s">
        <v>70</v>
      </c>
      <c r="W98" s="23">
        <v>18629</v>
      </c>
      <c r="Y98" s="23">
        <v>18629</v>
      </c>
      <c r="Z98" s="23">
        <v>2958465</v>
      </c>
      <c r="AA98" s="23">
        <v>42976</v>
      </c>
      <c r="AB98" s="21">
        <v>37</v>
      </c>
      <c r="AC98">
        <v>83000</v>
      </c>
      <c r="AD98" t="s">
        <v>71</v>
      </c>
      <c r="AE98" t="s">
        <v>71</v>
      </c>
    </row>
    <row r="99" spans="1:31" x14ac:dyDescent="0.45">
      <c r="A99">
        <v>10012260</v>
      </c>
      <c r="B99" t="s">
        <v>918</v>
      </c>
      <c r="C99" t="s">
        <v>58</v>
      </c>
      <c r="D99" t="s">
        <v>919</v>
      </c>
      <c r="E99" t="s">
        <v>0</v>
      </c>
      <c r="F99" t="s">
        <v>415</v>
      </c>
      <c r="G99" t="s">
        <v>416</v>
      </c>
      <c r="H99" t="s">
        <v>920</v>
      </c>
      <c r="I99" t="s">
        <v>64</v>
      </c>
      <c r="J99" t="s">
        <v>332</v>
      </c>
      <c r="L99" t="s">
        <v>921</v>
      </c>
      <c r="M99" t="s">
        <v>922</v>
      </c>
      <c r="O99" t="s">
        <v>530</v>
      </c>
      <c r="P99" t="s">
        <v>923</v>
      </c>
      <c r="Q99" t="s">
        <v>924</v>
      </c>
      <c r="S99">
        <v>15385</v>
      </c>
      <c r="T99" t="s">
        <v>69</v>
      </c>
      <c r="U99" t="s">
        <v>70</v>
      </c>
      <c r="W99" s="23">
        <v>18629</v>
      </c>
      <c r="Y99" s="23">
        <v>18629</v>
      </c>
      <c r="Z99" s="23">
        <v>2958465</v>
      </c>
      <c r="AA99" s="23">
        <v>42976</v>
      </c>
      <c r="AB99" s="21">
        <v>37</v>
      </c>
      <c r="AC99">
        <v>71818</v>
      </c>
      <c r="AD99" t="s">
        <v>71</v>
      </c>
      <c r="AE99" t="s">
        <v>71</v>
      </c>
    </row>
    <row r="100" spans="1:31" x14ac:dyDescent="0.45">
      <c r="A100">
        <v>10013157</v>
      </c>
      <c r="B100" t="s">
        <v>925</v>
      </c>
      <c r="C100" t="s">
        <v>90</v>
      </c>
      <c r="D100" t="s">
        <v>926</v>
      </c>
      <c r="E100" t="s">
        <v>0</v>
      </c>
      <c r="F100" t="s">
        <v>415</v>
      </c>
      <c r="G100" t="s">
        <v>499</v>
      </c>
      <c r="H100" t="s">
        <v>927</v>
      </c>
      <c r="I100" t="s">
        <v>64</v>
      </c>
      <c r="J100" t="s">
        <v>501</v>
      </c>
      <c r="L100" t="s">
        <v>928</v>
      </c>
      <c r="O100" t="s">
        <v>929</v>
      </c>
      <c r="P100" t="s">
        <v>930</v>
      </c>
      <c r="Q100" t="s">
        <v>931</v>
      </c>
      <c r="S100">
        <v>15385</v>
      </c>
      <c r="T100" t="s">
        <v>69</v>
      </c>
      <c r="U100" t="s">
        <v>70</v>
      </c>
      <c r="W100" s="23">
        <v>18629</v>
      </c>
      <c r="X100">
        <v>7477418</v>
      </c>
      <c r="Y100" s="23">
        <v>18629</v>
      </c>
      <c r="Z100" s="23">
        <v>2958465</v>
      </c>
      <c r="AA100" s="23">
        <v>42976</v>
      </c>
      <c r="AB100" s="21">
        <v>37</v>
      </c>
      <c r="AC100">
        <v>93851</v>
      </c>
      <c r="AD100" t="s">
        <v>71</v>
      </c>
      <c r="AE100" t="s">
        <v>71</v>
      </c>
    </row>
    <row r="101" spans="1:31" x14ac:dyDescent="0.45">
      <c r="A101">
        <v>10014249</v>
      </c>
      <c r="B101" t="s">
        <v>932</v>
      </c>
      <c r="C101" t="s">
        <v>903</v>
      </c>
      <c r="D101" t="s">
        <v>933</v>
      </c>
      <c r="E101" t="s">
        <v>0</v>
      </c>
      <c r="F101" t="s">
        <v>415</v>
      </c>
      <c r="G101" t="s">
        <v>534</v>
      </c>
      <c r="H101" t="s">
        <v>934</v>
      </c>
      <c r="I101" t="s">
        <v>64</v>
      </c>
      <c r="J101" t="s">
        <v>548</v>
      </c>
      <c r="L101" t="s">
        <v>935</v>
      </c>
      <c r="O101" t="s">
        <v>936</v>
      </c>
      <c r="P101" t="s">
        <v>937</v>
      </c>
      <c r="S101">
        <v>15386</v>
      </c>
      <c r="T101" t="s">
        <v>98</v>
      </c>
      <c r="U101" t="s">
        <v>70</v>
      </c>
      <c r="W101" s="23">
        <v>18629</v>
      </c>
      <c r="X101" t="s">
        <v>938</v>
      </c>
      <c r="Y101" s="23">
        <v>18629</v>
      </c>
      <c r="Z101" s="23">
        <v>2958465</v>
      </c>
      <c r="AA101" s="23">
        <v>42976</v>
      </c>
      <c r="AB101" s="21">
        <v>37</v>
      </c>
      <c r="AC101">
        <v>80444</v>
      </c>
      <c r="AD101" t="s">
        <v>71</v>
      </c>
      <c r="AE101" t="s">
        <v>71</v>
      </c>
    </row>
    <row r="102" spans="1:31" x14ac:dyDescent="0.45">
      <c r="A102">
        <v>10018693</v>
      </c>
      <c r="B102" t="s">
        <v>939</v>
      </c>
      <c r="C102" t="s">
        <v>58</v>
      </c>
      <c r="D102" t="s">
        <v>940</v>
      </c>
      <c r="E102" t="s">
        <v>0</v>
      </c>
      <c r="F102" t="s">
        <v>415</v>
      </c>
      <c r="G102" t="s">
        <v>534</v>
      </c>
      <c r="H102" t="s">
        <v>941</v>
      </c>
      <c r="I102" t="s">
        <v>64</v>
      </c>
      <c r="J102" t="s">
        <v>775</v>
      </c>
      <c r="L102" t="s">
        <v>942</v>
      </c>
      <c r="M102" t="s">
        <v>943</v>
      </c>
      <c r="O102" t="s">
        <v>944</v>
      </c>
      <c r="P102" t="s">
        <v>945</v>
      </c>
      <c r="S102">
        <v>15385</v>
      </c>
      <c r="T102" t="s">
        <v>69</v>
      </c>
      <c r="U102" t="s">
        <v>70</v>
      </c>
      <c r="W102" s="23">
        <v>18629</v>
      </c>
      <c r="X102" t="s">
        <v>946</v>
      </c>
      <c r="Y102" s="23">
        <v>18629</v>
      </c>
      <c r="Z102" s="23">
        <v>2958465</v>
      </c>
      <c r="AA102" s="23">
        <v>42976</v>
      </c>
      <c r="AB102" s="21">
        <v>37</v>
      </c>
      <c r="AC102">
        <v>71818</v>
      </c>
      <c r="AD102" t="s">
        <v>71</v>
      </c>
      <c r="AE102" t="s">
        <v>71</v>
      </c>
    </row>
    <row r="103" spans="1:31" x14ac:dyDescent="0.45">
      <c r="A103">
        <v>10022605</v>
      </c>
      <c r="B103" t="s">
        <v>947</v>
      </c>
      <c r="C103" t="s">
        <v>83</v>
      </c>
      <c r="D103" t="s">
        <v>948</v>
      </c>
      <c r="E103" t="s">
        <v>0</v>
      </c>
      <c r="F103" t="s">
        <v>415</v>
      </c>
      <c r="G103" t="s">
        <v>416</v>
      </c>
      <c r="H103" t="s">
        <v>949</v>
      </c>
      <c r="I103" t="s">
        <v>64</v>
      </c>
      <c r="J103" t="s">
        <v>332</v>
      </c>
      <c r="K103" t="s">
        <v>332</v>
      </c>
      <c r="L103" t="s">
        <v>950</v>
      </c>
      <c r="M103" t="s">
        <v>332</v>
      </c>
      <c r="O103" t="s">
        <v>530</v>
      </c>
      <c r="P103" t="s">
        <v>951</v>
      </c>
      <c r="S103">
        <v>15385</v>
      </c>
      <c r="T103" t="s">
        <v>69</v>
      </c>
      <c r="U103" t="s">
        <v>70</v>
      </c>
      <c r="W103" s="23">
        <v>18629</v>
      </c>
      <c r="Y103" s="23">
        <v>18629</v>
      </c>
      <c r="Z103" s="23">
        <v>2958465</v>
      </c>
      <c r="AA103" s="23">
        <v>42976</v>
      </c>
      <c r="AB103" s="21">
        <v>37</v>
      </c>
      <c r="AC103">
        <v>71818</v>
      </c>
      <c r="AD103" t="s">
        <v>71</v>
      </c>
      <c r="AE103" t="s">
        <v>71</v>
      </c>
    </row>
    <row r="104" spans="1:31" x14ac:dyDescent="0.45">
      <c r="A104">
        <v>10022606</v>
      </c>
      <c r="B104" t="s">
        <v>952</v>
      </c>
      <c r="C104" t="s">
        <v>953</v>
      </c>
      <c r="D104" t="s">
        <v>526</v>
      </c>
      <c r="E104" t="s">
        <v>320</v>
      </c>
      <c r="F104" t="s">
        <v>363</v>
      </c>
      <c r="G104" t="s">
        <v>364</v>
      </c>
      <c r="H104" t="s">
        <v>527</v>
      </c>
      <c r="I104" t="s">
        <v>64</v>
      </c>
      <c r="J104" t="s">
        <v>359</v>
      </c>
      <c r="L104" t="s">
        <v>954</v>
      </c>
      <c r="M104" t="s">
        <v>922</v>
      </c>
      <c r="O104" t="s">
        <v>530</v>
      </c>
      <c r="P104" t="s">
        <v>955</v>
      </c>
      <c r="S104">
        <v>15385</v>
      </c>
      <c r="T104" t="s">
        <v>69</v>
      </c>
      <c r="U104" t="s">
        <v>70</v>
      </c>
      <c r="W104" s="23">
        <v>18629</v>
      </c>
      <c r="Y104" s="23">
        <v>18629</v>
      </c>
      <c r="Z104" s="23">
        <v>2958465</v>
      </c>
      <c r="AA104" s="23">
        <v>42976</v>
      </c>
      <c r="AB104" s="21">
        <v>37</v>
      </c>
      <c r="AC104">
        <v>51868</v>
      </c>
      <c r="AD104" t="s">
        <v>71</v>
      </c>
      <c r="AE104" t="s">
        <v>71</v>
      </c>
    </row>
    <row r="105" spans="1:31" x14ac:dyDescent="0.45">
      <c r="A105">
        <v>10026078</v>
      </c>
      <c r="B105" t="s">
        <v>956</v>
      </c>
      <c r="C105" t="s">
        <v>957</v>
      </c>
      <c r="D105" t="s">
        <v>958</v>
      </c>
      <c r="E105" t="s">
        <v>0</v>
      </c>
      <c r="F105" t="s">
        <v>415</v>
      </c>
      <c r="G105" t="s">
        <v>534</v>
      </c>
      <c r="H105" t="s">
        <v>959</v>
      </c>
      <c r="I105" t="s">
        <v>906</v>
      </c>
      <c r="J105" t="s">
        <v>536</v>
      </c>
      <c r="L105" t="s">
        <v>960</v>
      </c>
      <c r="M105" t="s">
        <v>961</v>
      </c>
      <c r="O105" t="s">
        <v>539</v>
      </c>
      <c r="P105" t="s">
        <v>962</v>
      </c>
      <c r="S105">
        <v>15385</v>
      </c>
      <c r="T105" t="s">
        <v>69</v>
      </c>
      <c r="U105" t="s">
        <v>70</v>
      </c>
      <c r="W105" s="23">
        <v>18629</v>
      </c>
      <c r="Y105" s="23">
        <v>18629</v>
      </c>
      <c r="Z105" s="23">
        <v>2958465</v>
      </c>
      <c r="AA105" s="23">
        <v>42976</v>
      </c>
      <c r="AB105" s="21">
        <v>37</v>
      </c>
      <c r="AC105">
        <v>98375</v>
      </c>
      <c r="AD105" t="s">
        <v>71</v>
      </c>
      <c r="AE105" t="s">
        <v>71</v>
      </c>
    </row>
    <row r="106" spans="1:31" x14ac:dyDescent="0.45">
      <c r="A106">
        <v>10026099</v>
      </c>
      <c r="B106" t="s">
        <v>963</v>
      </c>
      <c r="C106" t="s">
        <v>964</v>
      </c>
      <c r="D106" t="s">
        <v>965</v>
      </c>
      <c r="E106" t="s">
        <v>0</v>
      </c>
      <c r="F106" t="s">
        <v>415</v>
      </c>
      <c r="G106" t="s">
        <v>534</v>
      </c>
      <c r="H106" t="s">
        <v>966</v>
      </c>
      <c r="I106" t="s">
        <v>64</v>
      </c>
      <c r="J106" t="s">
        <v>775</v>
      </c>
      <c r="L106" t="s">
        <v>967</v>
      </c>
      <c r="O106" t="s">
        <v>968</v>
      </c>
      <c r="P106" t="s">
        <v>969</v>
      </c>
      <c r="Q106">
        <v>1303252249</v>
      </c>
      <c r="S106">
        <v>15386</v>
      </c>
      <c r="T106" t="s">
        <v>98</v>
      </c>
      <c r="U106" t="s">
        <v>70</v>
      </c>
      <c r="W106" s="23">
        <v>18629</v>
      </c>
      <c r="X106" t="s">
        <v>970</v>
      </c>
      <c r="Y106" s="23">
        <v>18629</v>
      </c>
      <c r="Z106" s="23">
        <v>2958465</v>
      </c>
      <c r="AA106" s="23">
        <v>42976</v>
      </c>
      <c r="AB106" s="21">
        <v>37</v>
      </c>
      <c r="AC106">
        <v>60592</v>
      </c>
      <c r="AD106" t="s">
        <v>71</v>
      </c>
      <c r="AE106" t="s">
        <v>71</v>
      </c>
    </row>
    <row r="107" spans="1:31" x14ac:dyDescent="0.45">
      <c r="A107">
        <v>10026105</v>
      </c>
      <c r="B107" t="s">
        <v>971</v>
      </c>
      <c r="C107" t="s">
        <v>58</v>
      </c>
      <c r="D107" t="s">
        <v>972</v>
      </c>
      <c r="E107" t="s">
        <v>0</v>
      </c>
      <c r="F107" t="s">
        <v>415</v>
      </c>
      <c r="G107" t="s">
        <v>499</v>
      </c>
      <c r="H107" t="s">
        <v>973</v>
      </c>
      <c r="I107" t="s">
        <v>64</v>
      </c>
      <c r="J107" t="s">
        <v>501</v>
      </c>
      <c r="L107" t="s">
        <v>974</v>
      </c>
      <c r="M107" t="s">
        <v>975</v>
      </c>
      <c r="O107" t="s">
        <v>594</v>
      </c>
      <c r="P107" t="s">
        <v>976</v>
      </c>
      <c r="Q107" t="s">
        <v>977</v>
      </c>
      <c r="S107">
        <v>15385</v>
      </c>
      <c r="T107" t="s">
        <v>69</v>
      </c>
      <c r="U107" t="s">
        <v>70</v>
      </c>
      <c r="W107" s="23">
        <v>18629</v>
      </c>
      <c r="X107">
        <v>107551202</v>
      </c>
      <c r="Y107" s="23">
        <v>18629</v>
      </c>
      <c r="Z107" s="23">
        <v>2958465</v>
      </c>
      <c r="AA107" s="23">
        <v>42976</v>
      </c>
      <c r="AB107" s="21">
        <v>37</v>
      </c>
      <c r="AC107">
        <v>71818</v>
      </c>
      <c r="AD107" t="s">
        <v>71</v>
      </c>
      <c r="AE107" t="s">
        <v>71</v>
      </c>
    </row>
    <row r="108" spans="1:31" x14ac:dyDescent="0.45">
      <c r="A108">
        <v>10026189</v>
      </c>
      <c r="B108" t="s">
        <v>978</v>
      </c>
      <c r="C108" t="s">
        <v>192</v>
      </c>
      <c r="D108" t="s">
        <v>637</v>
      </c>
      <c r="E108" t="s">
        <v>0</v>
      </c>
      <c r="F108" t="s">
        <v>415</v>
      </c>
      <c r="G108" t="s">
        <v>416</v>
      </c>
      <c r="H108" t="s">
        <v>638</v>
      </c>
      <c r="I108" t="s">
        <v>64</v>
      </c>
      <c r="J108" t="s">
        <v>332</v>
      </c>
      <c r="L108" t="s">
        <v>979</v>
      </c>
      <c r="M108" t="s">
        <v>980</v>
      </c>
      <c r="O108" t="s">
        <v>530</v>
      </c>
      <c r="P108" t="s">
        <v>981</v>
      </c>
      <c r="S108">
        <v>15385</v>
      </c>
      <c r="T108" t="s">
        <v>69</v>
      </c>
      <c r="U108" t="s">
        <v>70</v>
      </c>
      <c r="W108" s="23">
        <v>18629</v>
      </c>
      <c r="Y108" s="23">
        <v>18629</v>
      </c>
      <c r="Z108" s="23">
        <v>2958465</v>
      </c>
      <c r="AA108" s="23">
        <v>42976</v>
      </c>
      <c r="AB108" s="21">
        <v>37</v>
      </c>
      <c r="AC108">
        <v>71818</v>
      </c>
      <c r="AD108" t="s">
        <v>71</v>
      </c>
      <c r="AE108" t="s">
        <v>71</v>
      </c>
    </row>
    <row r="109" spans="1:31" x14ac:dyDescent="0.45">
      <c r="A109">
        <v>10029628</v>
      </c>
      <c r="B109" t="s">
        <v>982</v>
      </c>
      <c r="C109" t="s">
        <v>83</v>
      </c>
      <c r="D109" t="s">
        <v>983</v>
      </c>
      <c r="E109" t="s">
        <v>60</v>
      </c>
      <c r="F109" t="s">
        <v>984</v>
      </c>
      <c r="G109" t="s">
        <v>985</v>
      </c>
      <c r="H109" t="s">
        <v>986</v>
      </c>
      <c r="I109" t="s">
        <v>64</v>
      </c>
      <c r="J109" t="s">
        <v>487</v>
      </c>
      <c r="L109" t="s">
        <v>987</v>
      </c>
      <c r="M109" t="s">
        <v>988</v>
      </c>
      <c r="O109" t="s">
        <v>490</v>
      </c>
      <c r="P109" t="s">
        <v>989</v>
      </c>
      <c r="Q109">
        <v>1417720207</v>
      </c>
      <c r="S109">
        <v>15386</v>
      </c>
      <c r="T109" t="s">
        <v>98</v>
      </c>
      <c r="U109" t="s">
        <v>70</v>
      </c>
      <c r="W109" s="23">
        <v>18629</v>
      </c>
      <c r="X109" t="s">
        <v>990</v>
      </c>
      <c r="Y109" s="23">
        <v>18629</v>
      </c>
      <c r="Z109" s="23">
        <v>2958465</v>
      </c>
      <c r="AA109" s="23">
        <v>42976</v>
      </c>
      <c r="AB109" s="21">
        <v>37</v>
      </c>
      <c r="AC109">
        <v>36000</v>
      </c>
      <c r="AD109" t="s">
        <v>71</v>
      </c>
      <c r="AE109" t="s">
        <v>71</v>
      </c>
    </row>
    <row r="110" spans="1:31" x14ac:dyDescent="0.45">
      <c r="A110">
        <v>10030144</v>
      </c>
      <c r="B110" t="s">
        <v>991</v>
      </c>
      <c r="C110" t="s">
        <v>860</v>
      </c>
      <c r="D110" t="s">
        <v>992</v>
      </c>
      <c r="E110" t="s">
        <v>0</v>
      </c>
      <c r="F110" t="s">
        <v>415</v>
      </c>
      <c r="G110" t="s">
        <v>534</v>
      </c>
      <c r="H110" t="s">
        <v>993</v>
      </c>
      <c r="I110" t="s">
        <v>906</v>
      </c>
      <c r="J110" t="s">
        <v>898</v>
      </c>
      <c r="L110" t="s">
        <v>994</v>
      </c>
      <c r="M110" t="s">
        <v>995</v>
      </c>
      <c r="O110" t="s">
        <v>996</v>
      </c>
      <c r="P110" t="s">
        <v>997</v>
      </c>
      <c r="Q110" t="s">
        <v>998</v>
      </c>
      <c r="S110">
        <v>15386</v>
      </c>
      <c r="T110" t="s">
        <v>98</v>
      </c>
      <c r="U110" t="s">
        <v>70</v>
      </c>
      <c r="W110" s="23">
        <v>18629</v>
      </c>
      <c r="X110" t="s">
        <v>999</v>
      </c>
      <c r="Y110" s="23">
        <v>41321</v>
      </c>
      <c r="Z110" s="23">
        <v>2958465</v>
      </c>
      <c r="AA110" s="23">
        <v>42976</v>
      </c>
      <c r="AB110" s="21">
        <v>37</v>
      </c>
      <c r="AC110">
        <v>71360</v>
      </c>
      <c r="AD110" t="s">
        <v>71</v>
      </c>
      <c r="AE110" t="s">
        <v>71</v>
      </c>
    </row>
    <row r="111" spans="1:31" x14ac:dyDescent="0.45">
      <c r="A111">
        <v>10032653</v>
      </c>
      <c r="B111" t="s">
        <v>1000</v>
      </c>
      <c r="C111" t="s">
        <v>211</v>
      </c>
      <c r="D111" t="s">
        <v>1001</v>
      </c>
      <c r="E111" t="s">
        <v>0</v>
      </c>
      <c r="F111" t="s">
        <v>415</v>
      </c>
      <c r="G111" t="s">
        <v>499</v>
      </c>
      <c r="H111" t="s">
        <v>905</v>
      </c>
      <c r="I111" t="s">
        <v>906</v>
      </c>
      <c r="J111" t="s">
        <v>556</v>
      </c>
      <c r="K111" t="s">
        <v>556</v>
      </c>
      <c r="L111" t="s">
        <v>1002</v>
      </c>
      <c r="O111" t="s">
        <v>1003</v>
      </c>
      <c r="P111" t="s">
        <v>1004</v>
      </c>
      <c r="S111">
        <v>15385</v>
      </c>
      <c r="T111" t="s">
        <v>69</v>
      </c>
      <c r="U111" t="s">
        <v>70</v>
      </c>
      <c r="W111" s="23">
        <v>18629</v>
      </c>
      <c r="Y111" s="23">
        <v>18629</v>
      </c>
      <c r="Z111" s="23">
        <v>2958465</v>
      </c>
      <c r="AA111" s="23">
        <v>42976</v>
      </c>
      <c r="AB111" s="21">
        <v>37</v>
      </c>
      <c r="AC111">
        <v>67956</v>
      </c>
      <c r="AD111" t="s">
        <v>71</v>
      </c>
      <c r="AE111" t="s">
        <v>71</v>
      </c>
    </row>
    <row r="112" spans="1:31" x14ac:dyDescent="0.45">
      <c r="A112">
        <v>10035128</v>
      </c>
      <c r="B112" t="s">
        <v>1005</v>
      </c>
      <c r="C112" t="s">
        <v>83</v>
      </c>
      <c r="D112" t="s">
        <v>1006</v>
      </c>
      <c r="E112" t="s">
        <v>0</v>
      </c>
      <c r="F112" t="s">
        <v>415</v>
      </c>
      <c r="G112" t="s">
        <v>499</v>
      </c>
      <c r="H112" t="s">
        <v>638</v>
      </c>
      <c r="I112" t="s">
        <v>64</v>
      </c>
      <c r="J112" t="s">
        <v>1007</v>
      </c>
      <c r="L112" t="s">
        <v>1008</v>
      </c>
      <c r="O112" t="s">
        <v>1007</v>
      </c>
      <c r="P112" t="s">
        <v>1009</v>
      </c>
      <c r="Q112">
        <v>1429869456</v>
      </c>
      <c r="S112">
        <v>15386</v>
      </c>
      <c r="T112" t="s">
        <v>98</v>
      </c>
      <c r="U112" t="s">
        <v>70</v>
      </c>
      <c r="W112" s="23">
        <v>18629</v>
      </c>
      <c r="X112" t="s">
        <v>1010</v>
      </c>
      <c r="Y112" s="23">
        <v>41732</v>
      </c>
      <c r="Z112" s="23">
        <v>2958465</v>
      </c>
      <c r="AA112" s="23">
        <v>42976</v>
      </c>
      <c r="AB112" s="21">
        <v>37</v>
      </c>
      <c r="AC112">
        <v>60592</v>
      </c>
      <c r="AD112" t="s">
        <v>71</v>
      </c>
      <c r="AE112" t="s">
        <v>71</v>
      </c>
    </row>
    <row r="113" spans="1:31" x14ac:dyDescent="0.45">
      <c r="A113">
        <v>10035719</v>
      </c>
      <c r="B113" t="s">
        <v>1011</v>
      </c>
      <c r="C113" t="s">
        <v>153</v>
      </c>
      <c r="D113" t="s">
        <v>1012</v>
      </c>
      <c r="E113" t="s">
        <v>0</v>
      </c>
      <c r="F113" t="s">
        <v>415</v>
      </c>
      <c r="G113" t="s">
        <v>416</v>
      </c>
      <c r="H113" t="s">
        <v>1013</v>
      </c>
      <c r="I113" t="s">
        <v>64</v>
      </c>
      <c r="J113" t="s">
        <v>332</v>
      </c>
      <c r="L113" t="s">
        <v>1014</v>
      </c>
      <c r="M113" t="s">
        <v>1015</v>
      </c>
      <c r="O113" t="s">
        <v>530</v>
      </c>
      <c r="P113" t="s">
        <v>1016</v>
      </c>
      <c r="S113">
        <v>15385</v>
      </c>
      <c r="T113" t="s">
        <v>69</v>
      </c>
      <c r="U113" t="s">
        <v>70</v>
      </c>
      <c r="W113" s="23">
        <v>18629</v>
      </c>
      <c r="Y113" s="23">
        <v>41347</v>
      </c>
      <c r="Z113" s="23">
        <v>2958465</v>
      </c>
      <c r="AA113" s="23">
        <v>42976</v>
      </c>
      <c r="AB113" s="21">
        <v>37</v>
      </c>
      <c r="AC113">
        <v>71818</v>
      </c>
      <c r="AD113" t="s">
        <v>71</v>
      </c>
      <c r="AE113" t="s">
        <v>71</v>
      </c>
    </row>
    <row r="114" spans="1:31" x14ac:dyDescent="0.45">
      <c r="A114">
        <v>10036115</v>
      </c>
      <c r="B114" t="s">
        <v>1017</v>
      </c>
      <c r="C114" t="s">
        <v>192</v>
      </c>
      <c r="D114" t="s">
        <v>1018</v>
      </c>
      <c r="E114" t="s">
        <v>0</v>
      </c>
      <c r="F114" t="s">
        <v>415</v>
      </c>
      <c r="G114" t="s">
        <v>416</v>
      </c>
      <c r="H114" t="s">
        <v>1019</v>
      </c>
      <c r="I114" t="s">
        <v>64</v>
      </c>
      <c r="J114" t="s">
        <v>332</v>
      </c>
      <c r="L114" t="s">
        <v>1020</v>
      </c>
      <c r="M114" t="s">
        <v>1021</v>
      </c>
      <c r="O114" t="s">
        <v>334</v>
      </c>
      <c r="P114" t="s">
        <v>1022</v>
      </c>
      <c r="Q114">
        <v>1242863065</v>
      </c>
      <c r="S114">
        <v>15385</v>
      </c>
      <c r="T114" t="s">
        <v>69</v>
      </c>
      <c r="U114" t="s">
        <v>70</v>
      </c>
      <c r="W114" s="23">
        <v>18629</v>
      </c>
      <c r="Y114" s="23">
        <v>18629</v>
      </c>
      <c r="Z114" s="23">
        <v>2958465</v>
      </c>
      <c r="AA114" s="23">
        <v>42976</v>
      </c>
      <c r="AB114" s="21">
        <v>37</v>
      </c>
      <c r="AC114">
        <v>69092</v>
      </c>
      <c r="AD114" t="s">
        <v>71</v>
      </c>
      <c r="AE114" t="s">
        <v>71</v>
      </c>
    </row>
    <row r="115" spans="1:31" x14ac:dyDescent="0.45">
      <c r="A115">
        <v>10036437</v>
      </c>
      <c r="B115" t="s">
        <v>1023</v>
      </c>
      <c r="C115" t="s">
        <v>58</v>
      </c>
      <c r="D115" t="s">
        <v>1024</v>
      </c>
      <c r="E115" t="s">
        <v>320</v>
      </c>
      <c r="F115" t="s">
        <v>363</v>
      </c>
      <c r="G115" t="s">
        <v>364</v>
      </c>
      <c r="H115" t="s">
        <v>1025</v>
      </c>
      <c r="I115" t="s">
        <v>64</v>
      </c>
      <c r="J115" t="s">
        <v>359</v>
      </c>
      <c r="L115" t="s">
        <v>1026</v>
      </c>
      <c r="M115" t="s">
        <v>719</v>
      </c>
      <c r="O115" t="s">
        <v>530</v>
      </c>
      <c r="P115" t="s">
        <v>1027</v>
      </c>
      <c r="S115">
        <v>15385</v>
      </c>
      <c r="T115" t="s">
        <v>69</v>
      </c>
      <c r="U115" t="s">
        <v>70</v>
      </c>
      <c r="W115" s="23">
        <v>18629</v>
      </c>
      <c r="X115" t="s">
        <v>1028</v>
      </c>
      <c r="Y115" s="23">
        <v>18629</v>
      </c>
      <c r="Z115" s="23">
        <v>2958465</v>
      </c>
      <c r="AA115" s="23">
        <v>42976</v>
      </c>
      <c r="AB115" s="21">
        <v>37</v>
      </c>
      <c r="AC115">
        <v>74185</v>
      </c>
      <c r="AD115" t="s">
        <v>71</v>
      </c>
      <c r="AE115" t="s">
        <v>71</v>
      </c>
    </row>
    <row r="116" spans="1:31" x14ac:dyDescent="0.45">
      <c r="A116">
        <v>10038976</v>
      </c>
      <c r="B116" t="s">
        <v>1029</v>
      </c>
      <c r="C116" t="s">
        <v>83</v>
      </c>
      <c r="D116" t="s">
        <v>1030</v>
      </c>
      <c r="E116" t="s">
        <v>0</v>
      </c>
      <c r="F116" t="s">
        <v>415</v>
      </c>
      <c r="G116" t="s">
        <v>534</v>
      </c>
      <c r="H116" t="s">
        <v>1031</v>
      </c>
      <c r="I116" t="s">
        <v>64</v>
      </c>
      <c r="J116" t="s">
        <v>898</v>
      </c>
      <c r="L116" t="s">
        <v>1032</v>
      </c>
      <c r="O116" t="s">
        <v>1033</v>
      </c>
      <c r="P116" t="s">
        <v>1034</v>
      </c>
      <c r="S116">
        <v>15385</v>
      </c>
      <c r="T116" t="s">
        <v>69</v>
      </c>
      <c r="U116" t="s">
        <v>70</v>
      </c>
      <c r="W116" s="23">
        <v>18629</v>
      </c>
      <c r="Y116" s="23">
        <v>18629</v>
      </c>
      <c r="Z116" s="23">
        <v>2958465</v>
      </c>
      <c r="AA116" s="23">
        <v>42976</v>
      </c>
      <c r="AB116" s="21">
        <v>37</v>
      </c>
      <c r="AC116">
        <v>60592</v>
      </c>
      <c r="AD116" t="s">
        <v>71</v>
      </c>
      <c r="AE116" t="s">
        <v>71</v>
      </c>
    </row>
    <row r="117" spans="1:31" x14ac:dyDescent="0.45">
      <c r="A117">
        <v>10039480</v>
      </c>
      <c r="B117" t="s">
        <v>1035</v>
      </c>
      <c r="C117" t="s">
        <v>860</v>
      </c>
      <c r="D117" t="s">
        <v>370</v>
      </c>
      <c r="E117" t="s">
        <v>0</v>
      </c>
      <c r="F117" t="s">
        <v>1036</v>
      </c>
      <c r="G117" t="s">
        <v>1037</v>
      </c>
      <c r="H117" t="s">
        <v>1038</v>
      </c>
      <c r="I117" t="s">
        <v>64</v>
      </c>
      <c r="J117" t="s">
        <v>332</v>
      </c>
      <c r="L117" t="s">
        <v>1039</v>
      </c>
      <c r="O117" t="s">
        <v>334</v>
      </c>
      <c r="P117" t="s">
        <v>1040</v>
      </c>
      <c r="S117">
        <v>15386</v>
      </c>
      <c r="T117" t="s">
        <v>98</v>
      </c>
      <c r="U117" t="s">
        <v>70</v>
      </c>
      <c r="W117" s="23">
        <v>18629</v>
      </c>
      <c r="X117" t="s">
        <v>1041</v>
      </c>
      <c r="Y117" s="23">
        <v>38151</v>
      </c>
      <c r="Z117" s="23">
        <v>2958465</v>
      </c>
      <c r="AA117" s="23">
        <v>42976</v>
      </c>
      <c r="AB117" s="21">
        <v>37</v>
      </c>
      <c r="AC117">
        <v>97441</v>
      </c>
      <c r="AD117" t="s">
        <v>71</v>
      </c>
      <c r="AE117" t="s">
        <v>71</v>
      </c>
    </row>
    <row r="118" spans="1:31" x14ac:dyDescent="0.45">
      <c r="A118">
        <v>10040187</v>
      </c>
      <c r="B118" t="s">
        <v>1042</v>
      </c>
      <c r="C118" t="s">
        <v>83</v>
      </c>
      <c r="D118" t="s">
        <v>1043</v>
      </c>
      <c r="E118" t="s">
        <v>0</v>
      </c>
      <c r="F118" t="s">
        <v>415</v>
      </c>
      <c r="G118" t="s">
        <v>416</v>
      </c>
      <c r="H118" t="s">
        <v>1044</v>
      </c>
      <c r="I118" t="s">
        <v>64</v>
      </c>
      <c r="J118" t="s">
        <v>332</v>
      </c>
      <c r="L118" t="s">
        <v>1045</v>
      </c>
      <c r="M118" t="s">
        <v>1046</v>
      </c>
      <c r="N118" t="s">
        <v>1047</v>
      </c>
      <c r="O118" t="s">
        <v>530</v>
      </c>
      <c r="P118" t="s">
        <v>1048</v>
      </c>
      <c r="S118">
        <v>15385</v>
      </c>
      <c r="T118" t="s">
        <v>69</v>
      </c>
      <c r="U118" t="s">
        <v>70</v>
      </c>
      <c r="W118" s="23">
        <v>18629</v>
      </c>
      <c r="Y118" s="23">
        <v>42426</v>
      </c>
      <c r="Z118" s="23">
        <v>2958465</v>
      </c>
      <c r="AA118" s="23">
        <v>42976</v>
      </c>
      <c r="AB118" s="21">
        <v>37</v>
      </c>
      <c r="AC118">
        <v>60592</v>
      </c>
      <c r="AD118" t="s">
        <v>71</v>
      </c>
      <c r="AE118" t="s">
        <v>71</v>
      </c>
    </row>
    <row r="119" spans="1:31" x14ac:dyDescent="0.45">
      <c r="A119">
        <v>10041060</v>
      </c>
      <c r="B119" t="s">
        <v>1049</v>
      </c>
      <c r="C119" t="s">
        <v>1050</v>
      </c>
      <c r="D119" t="s">
        <v>1051</v>
      </c>
      <c r="E119" t="s">
        <v>0</v>
      </c>
      <c r="F119" t="s">
        <v>415</v>
      </c>
      <c r="G119" t="s">
        <v>416</v>
      </c>
      <c r="H119" t="s">
        <v>527</v>
      </c>
      <c r="I119" t="s">
        <v>64</v>
      </c>
      <c r="J119" t="s">
        <v>332</v>
      </c>
      <c r="L119" t="s">
        <v>1052</v>
      </c>
      <c r="M119" t="s">
        <v>332</v>
      </c>
      <c r="O119" t="s">
        <v>530</v>
      </c>
      <c r="P119" t="s">
        <v>1053</v>
      </c>
      <c r="Q119">
        <v>1452550341</v>
      </c>
      <c r="S119">
        <v>15385</v>
      </c>
      <c r="T119" t="s">
        <v>69</v>
      </c>
      <c r="U119" t="s">
        <v>70</v>
      </c>
      <c r="W119" s="23">
        <v>18629</v>
      </c>
      <c r="Y119" s="23">
        <v>18629</v>
      </c>
      <c r="Z119" s="23">
        <v>2958465</v>
      </c>
      <c r="AA119" s="23">
        <v>42976</v>
      </c>
      <c r="AB119" s="21">
        <v>37</v>
      </c>
      <c r="AC119">
        <v>71818</v>
      </c>
      <c r="AD119" t="s">
        <v>71</v>
      </c>
      <c r="AE119" t="s">
        <v>71</v>
      </c>
    </row>
    <row r="120" spans="1:31" x14ac:dyDescent="0.45">
      <c r="A120">
        <v>10041128</v>
      </c>
      <c r="B120" t="s">
        <v>1054</v>
      </c>
      <c r="C120" t="s">
        <v>90</v>
      </c>
      <c r="D120" t="s">
        <v>1055</v>
      </c>
      <c r="E120" t="s">
        <v>0</v>
      </c>
      <c r="F120" t="s">
        <v>415</v>
      </c>
      <c r="G120" t="s">
        <v>499</v>
      </c>
      <c r="H120" t="s">
        <v>1056</v>
      </c>
      <c r="I120" t="s">
        <v>64</v>
      </c>
      <c r="J120" t="s">
        <v>501</v>
      </c>
      <c r="L120" t="s">
        <v>1057</v>
      </c>
      <c r="O120" t="s">
        <v>1058</v>
      </c>
      <c r="P120" t="s">
        <v>1059</v>
      </c>
      <c r="Q120">
        <v>1934527721</v>
      </c>
      <c r="S120">
        <v>15385</v>
      </c>
      <c r="T120" t="s">
        <v>69</v>
      </c>
      <c r="U120" t="s">
        <v>70</v>
      </c>
      <c r="W120" s="23">
        <v>18629</v>
      </c>
      <c r="Y120" s="23">
        <v>18629</v>
      </c>
      <c r="Z120" s="23">
        <v>2958465</v>
      </c>
      <c r="AA120" s="23">
        <v>42976</v>
      </c>
      <c r="AB120" s="21">
        <v>37</v>
      </c>
      <c r="AC120">
        <v>60592</v>
      </c>
      <c r="AD120" t="s">
        <v>71</v>
      </c>
      <c r="AE120" t="s">
        <v>71</v>
      </c>
    </row>
    <row r="121" spans="1:31" x14ac:dyDescent="0.45">
      <c r="A121">
        <v>10041504</v>
      </c>
      <c r="B121" t="s">
        <v>1060</v>
      </c>
      <c r="C121" t="s">
        <v>964</v>
      </c>
      <c r="D121" t="s">
        <v>1061</v>
      </c>
      <c r="E121" t="s">
        <v>320</v>
      </c>
      <c r="F121" t="s">
        <v>356</v>
      </c>
      <c r="G121" t="s">
        <v>357</v>
      </c>
      <c r="H121" t="s">
        <v>1062</v>
      </c>
      <c r="I121" t="s">
        <v>64</v>
      </c>
      <c r="J121" t="s">
        <v>359</v>
      </c>
      <c r="L121" t="s">
        <v>1063</v>
      </c>
      <c r="M121" t="s">
        <v>1064</v>
      </c>
      <c r="N121" t="s">
        <v>1065</v>
      </c>
      <c r="O121" t="s">
        <v>530</v>
      </c>
      <c r="P121" t="s">
        <v>1066</v>
      </c>
      <c r="Q121" t="s">
        <v>1067</v>
      </c>
      <c r="S121">
        <v>15385</v>
      </c>
      <c r="T121" t="s">
        <v>69</v>
      </c>
      <c r="U121" t="s">
        <v>70</v>
      </c>
      <c r="W121" s="23">
        <v>18629</v>
      </c>
      <c r="Y121" s="23">
        <v>18629</v>
      </c>
      <c r="Z121" s="23">
        <v>2958465</v>
      </c>
      <c r="AA121" s="23">
        <v>42976</v>
      </c>
      <c r="AB121" s="21">
        <v>37</v>
      </c>
      <c r="AC121">
        <v>87444</v>
      </c>
      <c r="AD121" t="s">
        <v>71</v>
      </c>
      <c r="AE121" t="s">
        <v>71</v>
      </c>
    </row>
    <row r="122" spans="1:31" x14ac:dyDescent="0.45">
      <c r="A122">
        <v>10042384</v>
      </c>
      <c r="B122" t="s">
        <v>1068</v>
      </c>
      <c r="C122" t="s">
        <v>83</v>
      </c>
      <c r="D122" t="s">
        <v>1069</v>
      </c>
      <c r="E122" t="s">
        <v>0</v>
      </c>
      <c r="F122" t="s">
        <v>415</v>
      </c>
      <c r="G122" t="s">
        <v>416</v>
      </c>
      <c r="H122" t="s">
        <v>1070</v>
      </c>
      <c r="I122" t="s">
        <v>64</v>
      </c>
      <c r="J122" t="s">
        <v>332</v>
      </c>
      <c r="L122" t="s">
        <v>1071</v>
      </c>
      <c r="M122" t="s">
        <v>1072</v>
      </c>
      <c r="O122" t="s">
        <v>1073</v>
      </c>
      <c r="P122" t="s">
        <v>1074</v>
      </c>
      <c r="Q122">
        <v>1212408661</v>
      </c>
      <c r="S122">
        <v>15385</v>
      </c>
      <c r="T122" t="s">
        <v>69</v>
      </c>
      <c r="U122" t="s">
        <v>70</v>
      </c>
      <c r="W122" s="23">
        <v>18629</v>
      </c>
      <c r="X122" t="s">
        <v>1075</v>
      </c>
      <c r="Y122" s="23">
        <v>41697</v>
      </c>
      <c r="Z122" s="23">
        <v>2958465</v>
      </c>
      <c r="AA122" s="23">
        <v>42976</v>
      </c>
      <c r="AB122" s="21">
        <v>37</v>
      </c>
      <c r="AC122">
        <v>71360</v>
      </c>
      <c r="AD122" t="s">
        <v>71</v>
      </c>
      <c r="AE122" t="s">
        <v>71</v>
      </c>
    </row>
    <row r="123" spans="1:31" x14ac:dyDescent="0.45">
      <c r="A123">
        <v>10043565</v>
      </c>
      <c r="B123" t="s">
        <v>1076</v>
      </c>
      <c r="C123" t="s">
        <v>192</v>
      </c>
      <c r="D123" t="s">
        <v>526</v>
      </c>
      <c r="E123" t="s">
        <v>320</v>
      </c>
      <c r="F123" t="s">
        <v>363</v>
      </c>
      <c r="G123" t="s">
        <v>364</v>
      </c>
      <c r="H123" t="s">
        <v>1077</v>
      </c>
      <c r="I123" t="s">
        <v>64</v>
      </c>
      <c r="J123" t="s">
        <v>332</v>
      </c>
      <c r="L123" t="s">
        <v>1078</v>
      </c>
      <c r="O123" t="s">
        <v>530</v>
      </c>
      <c r="P123" t="s">
        <v>1079</v>
      </c>
      <c r="S123">
        <v>15386</v>
      </c>
      <c r="T123" t="s">
        <v>98</v>
      </c>
      <c r="U123" t="s">
        <v>70</v>
      </c>
      <c r="W123" s="23">
        <v>18629</v>
      </c>
      <c r="X123" t="s">
        <v>1080</v>
      </c>
      <c r="Y123" s="23">
        <v>41499</v>
      </c>
      <c r="Z123" s="23">
        <v>2958465</v>
      </c>
      <c r="AA123" s="23">
        <v>42976</v>
      </c>
      <c r="AB123" s="21">
        <v>37</v>
      </c>
      <c r="AC123">
        <v>57484</v>
      </c>
      <c r="AD123" t="s">
        <v>71</v>
      </c>
      <c r="AE123" t="s">
        <v>71</v>
      </c>
    </row>
    <row r="124" spans="1:31" x14ac:dyDescent="0.45">
      <c r="A124">
        <v>10043888</v>
      </c>
      <c r="B124" t="s">
        <v>1081</v>
      </c>
      <c r="C124" t="s">
        <v>58</v>
      </c>
      <c r="D124" t="s">
        <v>1082</v>
      </c>
      <c r="E124" t="s">
        <v>0</v>
      </c>
      <c r="F124" t="s">
        <v>415</v>
      </c>
      <c r="G124" t="s">
        <v>534</v>
      </c>
      <c r="H124" t="s">
        <v>1083</v>
      </c>
      <c r="I124" t="s">
        <v>64</v>
      </c>
      <c r="J124" t="s">
        <v>775</v>
      </c>
      <c r="L124" t="s">
        <v>1084</v>
      </c>
      <c r="M124" t="s">
        <v>1085</v>
      </c>
      <c r="O124" t="s">
        <v>944</v>
      </c>
      <c r="P124" t="s">
        <v>1086</v>
      </c>
      <c r="S124">
        <v>15385</v>
      </c>
      <c r="T124" t="s">
        <v>69</v>
      </c>
      <c r="U124" t="s">
        <v>70</v>
      </c>
      <c r="W124" s="23">
        <v>18629</v>
      </c>
      <c r="Y124" s="23">
        <v>42159</v>
      </c>
      <c r="Z124" s="23">
        <v>2958465</v>
      </c>
      <c r="AA124" s="23">
        <v>42976</v>
      </c>
      <c r="AB124" s="21">
        <v>37</v>
      </c>
      <c r="AC124">
        <v>64553</v>
      </c>
      <c r="AD124" t="s">
        <v>71</v>
      </c>
      <c r="AE124" t="s">
        <v>71</v>
      </c>
    </row>
    <row r="125" spans="1:31" x14ac:dyDescent="0.45">
      <c r="A125">
        <v>10044168</v>
      </c>
      <c r="B125" t="s">
        <v>1087</v>
      </c>
      <c r="C125" t="s">
        <v>58</v>
      </c>
      <c r="D125" t="s">
        <v>1088</v>
      </c>
      <c r="E125" t="s">
        <v>320</v>
      </c>
      <c r="F125" t="s">
        <v>1089</v>
      </c>
      <c r="G125" t="s">
        <v>1090</v>
      </c>
      <c r="H125" t="s">
        <v>1091</v>
      </c>
      <c r="I125" t="s">
        <v>64</v>
      </c>
      <c r="J125" t="s">
        <v>359</v>
      </c>
      <c r="L125" t="s">
        <v>1092</v>
      </c>
      <c r="M125" t="s">
        <v>980</v>
      </c>
      <c r="O125" t="s">
        <v>530</v>
      </c>
      <c r="P125" t="s">
        <v>1093</v>
      </c>
      <c r="Q125" t="s">
        <v>1094</v>
      </c>
      <c r="S125">
        <v>15386</v>
      </c>
      <c r="T125" t="s">
        <v>98</v>
      </c>
      <c r="U125" t="s">
        <v>70</v>
      </c>
      <c r="W125" s="23">
        <v>18629</v>
      </c>
      <c r="X125" t="s">
        <v>1095</v>
      </c>
      <c r="Y125" s="23">
        <v>37774</v>
      </c>
      <c r="Z125" s="23">
        <v>2958465</v>
      </c>
      <c r="AA125" s="23">
        <v>42976</v>
      </c>
      <c r="AB125" s="21">
        <v>37</v>
      </c>
      <c r="AC125">
        <v>64258</v>
      </c>
      <c r="AD125" t="s">
        <v>71</v>
      </c>
      <c r="AE125" t="s">
        <v>71</v>
      </c>
    </row>
    <row r="126" spans="1:31" x14ac:dyDescent="0.45">
      <c r="A126">
        <v>10045051</v>
      </c>
      <c r="B126" t="s">
        <v>1096</v>
      </c>
      <c r="C126" t="s">
        <v>83</v>
      </c>
      <c r="D126" t="s">
        <v>1097</v>
      </c>
      <c r="E126" t="s">
        <v>0</v>
      </c>
      <c r="F126" t="s">
        <v>456</v>
      </c>
      <c r="G126" t="s">
        <v>675</v>
      </c>
      <c r="H126" t="s">
        <v>1098</v>
      </c>
      <c r="I126" t="s">
        <v>64</v>
      </c>
      <c r="J126" t="s">
        <v>332</v>
      </c>
      <c r="L126" t="s">
        <v>1099</v>
      </c>
      <c r="M126" t="s">
        <v>1046</v>
      </c>
      <c r="N126" t="s">
        <v>1047</v>
      </c>
      <c r="O126" t="s">
        <v>530</v>
      </c>
      <c r="P126" t="s">
        <v>1100</v>
      </c>
      <c r="S126">
        <v>15385</v>
      </c>
      <c r="T126" t="s">
        <v>69</v>
      </c>
      <c r="U126" t="s">
        <v>70</v>
      </c>
      <c r="W126" s="23">
        <v>18629</v>
      </c>
      <c r="Y126" s="23">
        <v>18629</v>
      </c>
      <c r="Z126" s="23">
        <v>2958465</v>
      </c>
      <c r="AA126" s="23">
        <v>42976</v>
      </c>
      <c r="AB126" s="21">
        <v>37</v>
      </c>
      <c r="AC126">
        <v>71818</v>
      </c>
      <c r="AD126" t="s">
        <v>71</v>
      </c>
      <c r="AE126" t="s">
        <v>71</v>
      </c>
    </row>
    <row r="127" spans="1:31" x14ac:dyDescent="0.45">
      <c r="A127">
        <v>10046443</v>
      </c>
      <c r="B127" t="s">
        <v>1101</v>
      </c>
      <c r="C127" t="s">
        <v>733</v>
      </c>
      <c r="D127" t="s">
        <v>1102</v>
      </c>
      <c r="E127" t="s">
        <v>0</v>
      </c>
      <c r="F127" t="s">
        <v>415</v>
      </c>
      <c r="G127" t="s">
        <v>416</v>
      </c>
      <c r="H127" t="s">
        <v>1103</v>
      </c>
      <c r="I127" t="s">
        <v>64</v>
      </c>
      <c r="J127" t="s">
        <v>487</v>
      </c>
      <c r="L127" t="s">
        <v>1104</v>
      </c>
      <c r="O127" t="s">
        <v>1105</v>
      </c>
      <c r="P127" t="s">
        <v>1106</v>
      </c>
      <c r="S127">
        <v>15385</v>
      </c>
      <c r="T127" t="s">
        <v>69</v>
      </c>
      <c r="U127" t="s">
        <v>70</v>
      </c>
      <c r="W127" s="23">
        <v>18629</v>
      </c>
      <c r="Y127" s="23">
        <v>42759</v>
      </c>
      <c r="Z127" s="23">
        <v>2958465</v>
      </c>
      <c r="AA127" s="23">
        <v>42976</v>
      </c>
      <c r="AB127" s="21">
        <v>37</v>
      </c>
      <c r="AC127">
        <v>60592</v>
      </c>
      <c r="AD127" t="s">
        <v>71</v>
      </c>
      <c r="AE127" t="s">
        <v>71</v>
      </c>
    </row>
    <row r="128" spans="1:31" x14ac:dyDescent="0.45">
      <c r="A128">
        <v>10046665</v>
      </c>
      <c r="B128" t="s">
        <v>1107</v>
      </c>
      <c r="C128" t="s">
        <v>953</v>
      </c>
      <c r="D128" t="s">
        <v>1108</v>
      </c>
      <c r="E128" t="s">
        <v>0</v>
      </c>
      <c r="F128" t="s">
        <v>415</v>
      </c>
      <c r="G128" t="s">
        <v>416</v>
      </c>
      <c r="H128" t="s">
        <v>1109</v>
      </c>
      <c r="I128" t="s">
        <v>64</v>
      </c>
      <c r="J128" t="s">
        <v>332</v>
      </c>
      <c r="L128" t="s">
        <v>1110</v>
      </c>
      <c r="M128" t="s">
        <v>1065</v>
      </c>
      <c r="O128" t="s">
        <v>530</v>
      </c>
      <c r="P128" t="s">
        <v>1111</v>
      </c>
      <c r="Q128" t="s">
        <v>1112</v>
      </c>
      <c r="S128">
        <v>15386</v>
      </c>
      <c r="T128" t="s">
        <v>98</v>
      </c>
      <c r="U128" t="s">
        <v>70</v>
      </c>
      <c r="W128" s="23">
        <v>18629</v>
      </c>
      <c r="X128" t="s">
        <v>1113</v>
      </c>
      <c r="Y128" s="23">
        <v>41916</v>
      </c>
      <c r="Z128" s="23">
        <v>2958465</v>
      </c>
      <c r="AA128" s="23">
        <v>42976</v>
      </c>
      <c r="AB128" s="21">
        <v>37</v>
      </c>
      <c r="AC128">
        <v>60592</v>
      </c>
      <c r="AD128" t="s">
        <v>71</v>
      </c>
      <c r="AE128" t="s">
        <v>71</v>
      </c>
    </row>
    <row r="129" spans="1:31" x14ac:dyDescent="0.45">
      <c r="A129">
        <v>10046756</v>
      </c>
      <c r="B129" t="s">
        <v>1114</v>
      </c>
      <c r="C129" t="s">
        <v>153</v>
      </c>
      <c r="D129" t="s">
        <v>1115</v>
      </c>
      <c r="E129" t="s">
        <v>0</v>
      </c>
      <c r="F129" t="s">
        <v>415</v>
      </c>
      <c r="G129" t="s">
        <v>534</v>
      </c>
      <c r="H129" t="s">
        <v>1116</v>
      </c>
      <c r="I129" t="s">
        <v>64</v>
      </c>
      <c r="J129" t="s">
        <v>775</v>
      </c>
      <c r="L129" t="s">
        <v>1117</v>
      </c>
      <c r="M129" t="s">
        <v>1085</v>
      </c>
      <c r="O129" t="s">
        <v>944</v>
      </c>
      <c r="P129" t="s">
        <v>1118</v>
      </c>
      <c r="S129">
        <v>15386</v>
      </c>
      <c r="T129" t="s">
        <v>98</v>
      </c>
      <c r="U129" t="s">
        <v>70</v>
      </c>
      <c r="W129" s="23">
        <v>18629</v>
      </c>
      <c r="X129" t="s">
        <v>1119</v>
      </c>
      <c r="Y129" s="23">
        <v>42398</v>
      </c>
      <c r="Z129" s="23">
        <v>2958465</v>
      </c>
      <c r="AA129" s="23">
        <v>42976</v>
      </c>
      <c r="AB129" s="21">
        <v>37</v>
      </c>
      <c r="AC129">
        <v>54336</v>
      </c>
      <c r="AD129" t="s">
        <v>71</v>
      </c>
      <c r="AE129" t="s">
        <v>71</v>
      </c>
    </row>
    <row r="130" spans="1:31" x14ac:dyDescent="0.45">
      <c r="A130">
        <v>10046758</v>
      </c>
      <c r="B130" t="s">
        <v>1120</v>
      </c>
      <c r="C130" t="s">
        <v>153</v>
      </c>
      <c r="D130" t="s">
        <v>485</v>
      </c>
      <c r="E130" t="s">
        <v>0</v>
      </c>
      <c r="F130" t="s">
        <v>415</v>
      </c>
      <c r="G130" t="s">
        <v>416</v>
      </c>
      <c r="H130" t="s">
        <v>1121</v>
      </c>
      <c r="I130" t="s">
        <v>64</v>
      </c>
      <c r="J130" t="s">
        <v>487</v>
      </c>
      <c r="L130" t="s">
        <v>1122</v>
      </c>
      <c r="O130" t="s">
        <v>487</v>
      </c>
      <c r="P130" t="s">
        <v>1123</v>
      </c>
      <c r="Q130">
        <v>1355224451</v>
      </c>
      <c r="S130">
        <v>15385</v>
      </c>
      <c r="T130" t="s">
        <v>69</v>
      </c>
      <c r="U130" t="s">
        <v>70</v>
      </c>
      <c r="W130" s="23">
        <v>18629</v>
      </c>
      <c r="X130" t="s">
        <v>1124</v>
      </c>
      <c r="Y130" s="23">
        <v>42718</v>
      </c>
      <c r="Z130" s="23">
        <v>2958465</v>
      </c>
      <c r="AA130" s="23">
        <v>42976</v>
      </c>
      <c r="AB130" s="21">
        <v>37</v>
      </c>
      <c r="AC130">
        <v>60012</v>
      </c>
      <c r="AD130" t="s">
        <v>71</v>
      </c>
      <c r="AE130" t="s">
        <v>71</v>
      </c>
    </row>
    <row r="131" spans="1:31" x14ac:dyDescent="0.45">
      <c r="A131">
        <v>10046761</v>
      </c>
      <c r="B131" t="s">
        <v>1125</v>
      </c>
      <c r="C131" t="s">
        <v>1126</v>
      </c>
      <c r="D131" t="s">
        <v>1082</v>
      </c>
      <c r="E131" t="s">
        <v>0</v>
      </c>
      <c r="F131" t="s">
        <v>415</v>
      </c>
      <c r="G131" t="s">
        <v>534</v>
      </c>
      <c r="H131" t="s">
        <v>1127</v>
      </c>
      <c r="I131" t="s">
        <v>64</v>
      </c>
      <c r="J131" t="s">
        <v>775</v>
      </c>
      <c r="L131" t="s">
        <v>1128</v>
      </c>
      <c r="M131" t="s">
        <v>1129</v>
      </c>
      <c r="O131" t="s">
        <v>944</v>
      </c>
      <c r="P131" t="s">
        <v>1130</v>
      </c>
      <c r="Q131">
        <v>1233641929</v>
      </c>
      <c r="S131">
        <v>15386</v>
      </c>
      <c r="T131" t="s">
        <v>98</v>
      </c>
      <c r="U131" t="s">
        <v>70</v>
      </c>
      <c r="W131" s="23">
        <v>18629</v>
      </c>
      <c r="X131" t="s">
        <v>1131</v>
      </c>
      <c r="Y131" s="23">
        <v>42282</v>
      </c>
      <c r="Z131" s="23">
        <v>2958465</v>
      </c>
      <c r="AA131" s="23">
        <v>42976</v>
      </c>
      <c r="AB131" s="21">
        <v>37</v>
      </c>
      <c r="AC131">
        <v>56608</v>
      </c>
      <c r="AD131" t="s">
        <v>71</v>
      </c>
      <c r="AE131" t="s">
        <v>71</v>
      </c>
    </row>
    <row r="132" spans="1:31" x14ac:dyDescent="0.45">
      <c r="A132">
        <v>10047733</v>
      </c>
      <c r="B132" t="s">
        <v>1132</v>
      </c>
      <c r="C132" t="s">
        <v>58</v>
      </c>
      <c r="D132" t="s">
        <v>1133</v>
      </c>
      <c r="E132" t="s">
        <v>0</v>
      </c>
      <c r="F132" t="s">
        <v>415</v>
      </c>
      <c r="G132" t="s">
        <v>534</v>
      </c>
      <c r="H132" t="s">
        <v>993</v>
      </c>
      <c r="I132" t="s">
        <v>906</v>
      </c>
      <c r="J132" t="s">
        <v>898</v>
      </c>
      <c r="L132" t="s">
        <v>1134</v>
      </c>
      <c r="M132" t="s">
        <v>995</v>
      </c>
      <c r="O132" t="s">
        <v>996</v>
      </c>
      <c r="P132" t="s">
        <v>1135</v>
      </c>
      <c r="S132">
        <v>15385</v>
      </c>
      <c r="T132" t="s">
        <v>69</v>
      </c>
      <c r="U132" t="s">
        <v>70</v>
      </c>
      <c r="W132" s="23">
        <v>18629</v>
      </c>
      <c r="Y132" s="23">
        <v>18629</v>
      </c>
      <c r="Z132" s="23">
        <v>2958465</v>
      </c>
      <c r="AA132" s="23">
        <v>42976</v>
      </c>
      <c r="AB132" s="21">
        <v>37</v>
      </c>
      <c r="AC132">
        <v>64553</v>
      </c>
      <c r="AD132" t="s">
        <v>71</v>
      </c>
      <c r="AE132" t="s">
        <v>71</v>
      </c>
    </row>
    <row r="133" spans="1:31" x14ac:dyDescent="0.45">
      <c r="A133">
        <v>10049872</v>
      </c>
      <c r="B133" t="s">
        <v>1136</v>
      </c>
      <c r="C133" t="s">
        <v>58</v>
      </c>
      <c r="D133" t="s">
        <v>1137</v>
      </c>
      <c r="E133" t="s">
        <v>320</v>
      </c>
      <c r="F133" t="s">
        <v>356</v>
      </c>
      <c r="G133" t="s">
        <v>1138</v>
      </c>
      <c r="H133" t="s">
        <v>1139</v>
      </c>
      <c r="I133" t="s">
        <v>64</v>
      </c>
      <c r="J133" t="s">
        <v>1140</v>
      </c>
      <c r="S133">
        <v>15385</v>
      </c>
      <c r="T133" t="s">
        <v>69</v>
      </c>
      <c r="U133" t="s">
        <v>70</v>
      </c>
      <c r="W133" s="23">
        <v>18629</v>
      </c>
      <c r="Y133" s="23">
        <v>42690</v>
      </c>
      <c r="Z133" s="23">
        <v>2958465</v>
      </c>
      <c r="AA133" s="23">
        <v>42976</v>
      </c>
      <c r="AB133" s="21">
        <v>37</v>
      </c>
      <c r="AC133">
        <v>50451</v>
      </c>
      <c r="AD133" t="s">
        <v>71</v>
      </c>
      <c r="AE133" t="s">
        <v>71</v>
      </c>
    </row>
    <row r="134" spans="1:31" x14ac:dyDescent="0.45">
      <c r="A134">
        <v>10050110</v>
      </c>
      <c r="B134" t="s">
        <v>1151</v>
      </c>
      <c r="C134" t="s">
        <v>1152</v>
      </c>
      <c r="D134" t="s">
        <v>370</v>
      </c>
      <c r="E134" t="s">
        <v>347</v>
      </c>
      <c r="F134" t="s">
        <v>1153</v>
      </c>
      <c r="G134" t="s">
        <v>1154</v>
      </c>
      <c r="H134" t="s">
        <v>1155</v>
      </c>
      <c r="I134" t="s">
        <v>64</v>
      </c>
      <c r="J134" t="s">
        <v>114</v>
      </c>
      <c r="L134" t="s">
        <v>1156</v>
      </c>
      <c r="O134" t="s">
        <v>1157</v>
      </c>
      <c r="P134" t="s">
        <v>1158</v>
      </c>
      <c r="S134">
        <v>15385</v>
      </c>
      <c r="T134" t="s">
        <v>69</v>
      </c>
      <c r="U134" t="s">
        <v>70</v>
      </c>
      <c r="W134" s="23">
        <v>18629</v>
      </c>
      <c r="X134">
        <v>513277759</v>
      </c>
      <c r="Y134" s="23">
        <v>41174</v>
      </c>
      <c r="Z134" s="23">
        <v>2958465</v>
      </c>
      <c r="AA134" s="23">
        <v>42976</v>
      </c>
      <c r="AB134" s="21">
        <v>37</v>
      </c>
      <c r="AC134">
        <v>52114</v>
      </c>
      <c r="AD134" t="s">
        <v>71</v>
      </c>
      <c r="AE134" t="s">
        <v>71</v>
      </c>
    </row>
    <row r="135" spans="1:31" x14ac:dyDescent="0.45">
      <c r="A135">
        <v>10050152</v>
      </c>
      <c r="B135" t="s">
        <v>1159</v>
      </c>
      <c r="C135" t="s">
        <v>83</v>
      </c>
      <c r="D135" t="s">
        <v>1160</v>
      </c>
      <c r="E135" t="s">
        <v>0</v>
      </c>
      <c r="F135" t="s">
        <v>415</v>
      </c>
      <c r="G135" t="s">
        <v>416</v>
      </c>
      <c r="H135" t="s">
        <v>1161</v>
      </c>
      <c r="I135" t="s">
        <v>64</v>
      </c>
      <c r="J135" t="s">
        <v>332</v>
      </c>
      <c r="L135" t="s">
        <v>1162</v>
      </c>
      <c r="M135" t="s">
        <v>1163</v>
      </c>
      <c r="O135" t="s">
        <v>334</v>
      </c>
      <c r="P135" t="s">
        <v>1164</v>
      </c>
      <c r="S135">
        <v>15385</v>
      </c>
      <c r="T135" t="s">
        <v>69</v>
      </c>
      <c r="U135" t="s">
        <v>70</v>
      </c>
      <c r="W135" s="23">
        <v>18629</v>
      </c>
      <c r="X135" t="s">
        <v>1165</v>
      </c>
      <c r="Y135" s="23">
        <v>40931</v>
      </c>
      <c r="Z135" s="23">
        <v>2958465</v>
      </c>
      <c r="AA135" s="23">
        <v>42976</v>
      </c>
      <c r="AB135" s="21">
        <v>37</v>
      </c>
      <c r="AC135">
        <v>71818</v>
      </c>
      <c r="AD135" t="s">
        <v>71</v>
      </c>
      <c r="AE135" t="s">
        <v>71</v>
      </c>
    </row>
    <row r="136" spans="1:31" x14ac:dyDescent="0.45">
      <c r="A136">
        <v>10050360</v>
      </c>
      <c r="B136" t="s">
        <v>1174</v>
      </c>
      <c r="C136" t="s">
        <v>192</v>
      </c>
      <c r="D136" t="s">
        <v>1175</v>
      </c>
      <c r="E136" t="s">
        <v>0</v>
      </c>
      <c r="F136" t="s">
        <v>415</v>
      </c>
      <c r="G136" t="s">
        <v>534</v>
      </c>
      <c r="H136" t="s">
        <v>1176</v>
      </c>
      <c r="I136" t="s">
        <v>64</v>
      </c>
      <c r="J136" t="s">
        <v>898</v>
      </c>
      <c r="L136" t="s">
        <v>1177</v>
      </c>
      <c r="O136" t="s">
        <v>1178</v>
      </c>
      <c r="P136" t="s">
        <v>1179</v>
      </c>
      <c r="S136">
        <v>15386</v>
      </c>
      <c r="T136" t="s">
        <v>98</v>
      </c>
      <c r="U136" t="s">
        <v>70</v>
      </c>
      <c r="W136" s="23">
        <v>18629</v>
      </c>
      <c r="X136" t="s">
        <v>1180</v>
      </c>
      <c r="Y136" s="23">
        <v>41682</v>
      </c>
      <c r="Z136" s="23">
        <v>2958465</v>
      </c>
      <c r="AA136" s="23">
        <v>42976</v>
      </c>
      <c r="AB136" s="21">
        <v>37</v>
      </c>
      <c r="AC136">
        <v>50731</v>
      </c>
      <c r="AD136" t="s">
        <v>71</v>
      </c>
      <c r="AE136" t="s">
        <v>71</v>
      </c>
    </row>
    <row r="137" spans="1:31" x14ac:dyDescent="0.45">
      <c r="A137">
        <v>10050893</v>
      </c>
      <c r="B137" t="s">
        <v>1189</v>
      </c>
      <c r="C137" t="s">
        <v>83</v>
      </c>
      <c r="D137" t="s">
        <v>1190</v>
      </c>
      <c r="E137" t="s">
        <v>0</v>
      </c>
      <c r="F137" t="s">
        <v>415</v>
      </c>
      <c r="G137" t="s">
        <v>499</v>
      </c>
      <c r="H137" t="s">
        <v>1191</v>
      </c>
      <c r="I137" t="s">
        <v>64</v>
      </c>
      <c r="J137" t="s">
        <v>1192</v>
      </c>
      <c r="L137" t="s">
        <v>1193</v>
      </c>
      <c r="M137" t="s">
        <v>1194</v>
      </c>
      <c r="N137" t="s">
        <v>1195</v>
      </c>
      <c r="O137" t="s">
        <v>1196</v>
      </c>
      <c r="P137" t="s">
        <v>1197</v>
      </c>
      <c r="Q137" t="s">
        <v>1198</v>
      </c>
      <c r="S137">
        <v>15385</v>
      </c>
      <c r="T137" t="s">
        <v>69</v>
      </c>
      <c r="U137" t="s">
        <v>70</v>
      </c>
      <c r="W137" s="23">
        <v>18629</v>
      </c>
      <c r="Y137" s="23">
        <v>18629</v>
      </c>
      <c r="Z137" s="23">
        <v>2958465</v>
      </c>
      <c r="AA137" s="23">
        <v>42976</v>
      </c>
      <c r="AB137" s="21">
        <v>37</v>
      </c>
      <c r="AC137">
        <v>60592</v>
      </c>
      <c r="AD137" t="s">
        <v>71</v>
      </c>
      <c r="AE137" t="s">
        <v>71</v>
      </c>
    </row>
    <row r="138" spans="1:31" x14ac:dyDescent="0.45">
      <c r="A138">
        <v>10051961</v>
      </c>
      <c r="B138" t="s">
        <v>1205</v>
      </c>
      <c r="C138" t="s">
        <v>1206</v>
      </c>
      <c r="D138" t="s">
        <v>1207</v>
      </c>
      <c r="E138" t="s">
        <v>517</v>
      </c>
      <c r="F138" t="s">
        <v>1208</v>
      </c>
      <c r="G138" t="s">
        <v>1209</v>
      </c>
      <c r="H138" t="s">
        <v>1210</v>
      </c>
      <c r="I138" t="s">
        <v>64</v>
      </c>
      <c r="J138" t="s">
        <v>1211</v>
      </c>
      <c r="K138" t="s">
        <v>114</v>
      </c>
      <c r="L138" t="s">
        <v>1212</v>
      </c>
      <c r="O138" t="s">
        <v>1213</v>
      </c>
      <c r="P138" t="s">
        <v>1214</v>
      </c>
      <c r="S138">
        <v>15385</v>
      </c>
      <c r="T138" t="s">
        <v>69</v>
      </c>
      <c r="U138" t="s">
        <v>70</v>
      </c>
      <c r="W138" s="23">
        <v>18629</v>
      </c>
      <c r="Y138" s="23">
        <v>42648</v>
      </c>
      <c r="Z138" s="23">
        <v>2958465</v>
      </c>
      <c r="AA138" s="23">
        <v>42976</v>
      </c>
      <c r="AB138" s="21">
        <v>37</v>
      </c>
      <c r="AC138">
        <v>78970</v>
      </c>
      <c r="AD138" t="s">
        <v>71</v>
      </c>
      <c r="AE138" t="s">
        <v>71</v>
      </c>
    </row>
    <row r="139" spans="1:31" x14ac:dyDescent="0.45">
      <c r="A139">
        <v>20006455</v>
      </c>
      <c r="B139" t="s">
        <v>1344</v>
      </c>
      <c r="C139" t="s">
        <v>211</v>
      </c>
      <c r="D139" t="s">
        <v>1345</v>
      </c>
      <c r="E139" t="s">
        <v>433</v>
      </c>
      <c r="F139" t="s">
        <v>735</v>
      </c>
      <c r="G139" t="s">
        <v>1346</v>
      </c>
      <c r="H139" t="s">
        <v>1347</v>
      </c>
      <c r="I139" t="s">
        <v>64</v>
      </c>
      <c r="J139" t="s">
        <v>1348</v>
      </c>
      <c r="L139" t="s">
        <v>1349</v>
      </c>
      <c r="M139" t="s">
        <v>1350</v>
      </c>
      <c r="O139" t="s">
        <v>1351</v>
      </c>
      <c r="P139" t="s">
        <v>1352</v>
      </c>
      <c r="S139">
        <v>15386</v>
      </c>
      <c r="T139" t="s">
        <v>98</v>
      </c>
      <c r="U139" t="s">
        <v>70</v>
      </c>
      <c r="X139" t="s">
        <v>1353</v>
      </c>
      <c r="Y139" s="23">
        <v>40562</v>
      </c>
      <c r="Z139" s="23">
        <v>2958465</v>
      </c>
      <c r="AA139" s="23">
        <v>43728</v>
      </c>
      <c r="AB139" s="21">
        <v>37</v>
      </c>
      <c r="AC139">
        <v>38000</v>
      </c>
      <c r="AD139" t="s">
        <v>71</v>
      </c>
      <c r="AE139" t="s">
        <v>71</v>
      </c>
    </row>
    <row r="140" spans="1:31" x14ac:dyDescent="0.45">
      <c r="A140">
        <v>977623</v>
      </c>
      <c r="B140" t="s">
        <v>345</v>
      </c>
      <c r="C140" t="s">
        <v>153</v>
      </c>
      <c r="D140" t="s">
        <v>346</v>
      </c>
      <c r="E140" t="s">
        <v>347</v>
      </c>
      <c r="F140" t="s">
        <v>348</v>
      </c>
      <c r="G140" t="s">
        <v>349</v>
      </c>
      <c r="H140" t="s">
        <v>350</v>
      </c>
      <c r="I140" t="s">
        <v>64</v>
      </c>
      <c r="J140" t="s">
        <v>114</v>
      </c>
      <c r="L140" t="s">
        <v>351</v>
      </c>
      <c r="O140" t="s">
        <v>352</v>
      </c>
      <c r="P140" t="s">
        <v>353</v>
      </c>
      <c r="S140">
        <v>15385</v>
      </c>
      <c r="T140" t="s">
        <v>69</v>
      </c>
      <c r="U140" t="s">
        <v>70</v>
      </c>
      <c r="Y140" s="23">
        <v>42900</v>
      </c>
      <c r="AA140" s="23">
        <v>43075</v>
      </c>
      <c r="AB140" s="21">
        <v>37</v>
      </c>
      <c r="AC140">
        <v>53748</v>
      </c>
      <c r="AD140" t="s">
        <v>71</v>
      </c>
      <c r="AE140" t="s">
        <v>71</v>
      </c>
    </row>
    <row r="141" spans="1:31" x14ac:dyDescent="0.45">
      <c r="A141">
        <v>977625</v>
      </c>
      <c r="B141" t="s">
        <v>354</v>
      </c>
      <c r="C141" t="s">
        <v>153</v>
      </c>
      <c r="D141" t="s">
        <v>355</v>
      </c>
      <c r="E141" t="s">
        <v>320</v>
      </c>
      <c r="F141" t="s">
        <v>356</v>
      </c>
      <c r="G141" t="s">
        <v>357</v>
      </c>
      <c r="H141" t="s">
        <v>358</v>
      </c>
      <c r="I141" t="s">
        <v>64</v>
      </c>
      <c r="J141" t="s">
        <v>359</v>
      </c>
      <c r="S141">
        <v>15385</v>
      </c>
      <c r="T141" t="s">
        <v>69</v>
      </c>
      <c r="U141" t="s">
        <v>70</v>
      </c>
      <c r="Y141" s="23">
        <v>43117</v>
      </c>
      <c r="AA141" s="23">
        <v>43119</v>
      </c>
      <c r="AB141" s="21">
        <v>37</v>
      </c>
      <c r="AC141">
        <v>56935</v>
      </c>
      <c r="AD141" t="s">
        <v>71</v>
      </c>
      <c r="AE141" t="s">
        <v>71</v>
      </c>
    </row>
    <row r="142" spans="1:31" x14ac:dyDescent="0.45">
      <c r="A142">
        <v>978936</v>
      </c>
      <c r="B142" t="s">
        <v>465</v>
      </c>
      <c r="C142" t="s">
        <v>399</v>
      </c>
      <c r="D142" t="s">
        <v>466</v>
      </c>
      <c r="E142" t="s">
        <v>467</v>
      </c>
      <c r="F142" t="s">
        <v>468</v>
      </c>
      <c r="G142" t="s">
        <v>469</v>
      </c>
      <c r="H142" t="s">
        <v>470</v>
      </c>
      <c r="I142" t="s">
        <v>64</v>
      </c>
      <c r="J142" t="s">
        <v>114</v>
      </c>
      <c r="L142" t="s">
        <v>471</v>
      </c>
      <c r="O142" t="s">
        <v>80</v>
      </c>
      <c r="P142" t="s">
        <v>472</v>
      </c>
      <c r="S142">
        <v>15385</v>
      </c>
      <c r="T142" t="s">
        <v>69</v>
      </c>
      <c r="U142" t="s">
        <v>70</v>
      </c>
      <c r="Y142" s="23">
        <v>43150</v>
      </c>
      <c r="AA142" s="23">
        <v>43174</v>
      </c>
      <c r="AB142" s="21">
        <v>37</v>
      </c>
      <c r="AC142">
        <v>110000</v>
      </c>
      <c r="AD142" t="s">
        <v>71</v>
      </c>
      <c r="AE142" t="s">
        <v>71</v>
      </c>
    </row>
    <row r="143" spans="1:31" x14ac:dyDescent="0.45">
      <c r="A143">
        <v>979316</v>
      </c>
      <c r="B143" t="s">
        <v>506</v>
      </c>
      <c r="C143" t="s">
        <v>507</v>
      </c>
      <c r="D143" t="s">
        <v>508</v>
      </c>
      <c r="E143" t="s">
        <v>1</v>
      </c>
      <c r="F143" t="s">
        <v>509</v>
      </c>
      <c r="G143" t="s">
        <v>510</v>
      </c>
      <c r="H143" t="s">
        <v>511</v>
      </c>
      <c r="I143" t="s">
        <v>130</v>
      </c>
      <c r="J143" t="s">
        <v>131</v>
      </c>
      <c r="L143" t="s">
        <v>512</v>
      </c>
      <c r="O143" t="s">
        <v>133</v>
      </c>
      <c r="P143" t="s">
        <v>513</v>
      </c>
      <c r="S143">
        <v>15385</v>
      </c>
      <c r="T143" t="s">
        <v>69</v>
      </c>
      <c r="U143" t="s">
        <v>70</v>
      </c>
      <c r="Y143" s="23">
        <v>43279</v>
      </c>
      <c r="AA143" s="23">
        <v>43292</v>
      </c>
      <c r="AB143" s="21">
        <v>37</v>
      </c>
      <c r="AC143">
        <v>39000</v>
      </c>
      <c r="AD143" t="s">
        <v>71</v>
      </c>
      <c r="AE143" t="s">
        <v>71</v>
      </c>
    </row>
    <row r="144" spans="1:31" x14ac:dyDescent="0.45">
      <c r="A144">
        <v>992029</v>
      </c>
      <c r="B144" t="s">
        <v>722</v>
      </c>
      <c r="C144" t="s">
        <v>312</v>
      </c>
      <c r="D144" t="s">
        <v>723</v>
      </c>
      <c r="E144" t="s">
        <v>1</v>
      </c>
      <c r="F144" t="s">
        <v>102</v>
      </c>
      <c r="G144" t="s">
        <v>103</v>
      </c>
      <c r="H144" t="s">
        <v>104</v>
      </c>
      <c r="I144" t="s">
        <v>130</v>
      </c>
      <c r="J144" t="s">
        <v>156</v>
      </c>
      <c r="L144" t="s">
        <v>724</v>
      </c>
      <c r="O144" t="s">
        <v>159</v>
      </c>
      <c r="P144" t="s">
        <v>725</v>
      </c>
      <c r="S144">
        <v>15386</v>
      </c>
      <c r="T144" t="s">
        <v>98</v>
      </c>
      <c r="U144" t="s">
        <v>70</v>
      </c>
      <c r="X144" t="s">
        <v>726</v>
      </c>
      <c r="Y144" s="23">
        <v>43157</v>
      </c>
      <c r="AA144" s="23">
        <v>43174</v>
      </c>
      <c r="AB144" s="21">
        <v>37</v>
      </c>
      <c r="AC144">
        <v>24957</v>
      </c>
      <c r="AD144" t="s">
        <v>71</v>
      </c>
      <c r="AE144" t="s">
        <v>71</v>
      </c>
    </row>
    <row r="145" spans="1:31" x14ac:dyDescent="0.45">
      <c r="A145">
        <v>10050094</v>
      </c>
      <c r="B145" t="s">
        <v>1141</v>
      </c>
      <c r="C145" t="s">
        <v>58</v>
      </c>
      <c r="D145" t="s">
        <v>562</v>
      </c>
      <c r="E145" t="s">
        <v>320</v>
      </c>
      <c r="F145" t="s">
        <v>329</v>
      </c>
      <c r="G145" t="s">
        <v>330</v>
      </c>
      <c r="H145" t="s">
        <v>1142</v>
      </c>
      <c r="I145" t="s">
        <v>64</v>
      </c>
      <c r="J145" t="s">
        <v>459</v>
      </c>
      <c r="L145" t="s">
        <v>1143</v>
      </c>
      <c r="O145" t="s">
        <v>504</v>
      </c>
      <c r="P145" t="s">
        <v>1144</v>
      </c>
      <c r="Q145">
        <v>447578020111</v>
      </c>
      <c r="S145">
        <v>15385</v>
      </c>
      <c r="T145" t="s">
        <v>69</v>
      </c>
      <c r="U145" t="s">
        <v>70</v>
      </c>
      <c r="Y145" s="23">
        <v>43273</v>
      </c>
      <c r="AA145" s="23">
        <v>43579</v>
      </c>
      <c r="AB145" s="21">
        <v>37</v>
      </c>
      <c r="AC145">
        <v>49944</v>
      </c>
      <c r="AD145" t="s">
        <v>71</v>
      </c>
      <c r="AE145" t="s">
        <v>71</v>
      </c>
    </row>
    <row r="146" spans="1:31" x14ac:dyDescent="0.45">
      <c r="A146">
        <v>10050095</v>
      </c>
      <c r="B146" t="s">
        <v>1146</v>
      </c>
      <c r="C146" t="s">
        <v>153</v>
      </c>
      <c r="D146" t="s">
        <v>1147</v>
      </c>
      <c r="E146" t="s">
        <v>0</v>
      </c>
      <c r="F146" t="s">
        <v>415</v>
      </c>
      <c r="G146" t="s">
        <v>499</v>
      </c>
      <c r="H146" t="s">
        <v>1148</v>
      </c>
      <c r="I146" t="s">
        <v>64</v>
      </c>
      <c r="J146" t="s">
        <v>501</v>
      </c>
      <c r="L146" t="s">
        <v>1149</v>
      </c>
      <c r="O146" t="s">
        <v>504</v>
      </c>
      <c r="P146" t="s">
        <v>1150</v>
      </c>
      <c r="S146">
        <v>15385</v>
      </c>
      <c r="T146" t="s">
        <v>69</v>
      </c>
      <c r="U146" t="s">
        <v>70</v>
      </c>
      <c r="Y146" s="23">
        <v>43206</v>
      </c>
      <c r="AA146" s="23">
        <v>43263</v>
      </c>
      <c r="AB146" s="21">
        <v>37</v>
      </c>
      <c r="AC146">
        <v>49341</v>
      </c>
      <c r="AD146" t="s">
        <v>71</v>
      </c>
      <c r="AE146" t="s">
        <v>71</v>
      </c>
    </row>
  </sheetData>
  <autoFilter ref="A1:AF1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AG49"/>
  <sheetViews>
    <sheetView workbookViewId="0">
      <pane xSplit="2" ySplit="1" topLeftCell="Z2" activePane="bottomRight" state="frozen"/>
      <selection pane="topRight" activeCell="C1" sqref="C1"/>
      <selection pane="bottomLeft" activeCell="A2" sqref="A2"/>
      <selection pane="bottomRight" activeCell="AA1" sqref="AA1:AC1048576"/>
    </sheetView>
  </sheetViews>
  <sheetFormatPr defaultColWidth="9.1328125" defaultRowHeight="14.25" x14ac:dyDescent="0.45"/>
  <cols>
    <col min="1" max="1" width="18.1328125" bestFit="1" customWidth="1"/>
    <col min="2" max="2" width="30.1328125" bestFit="1" customWidth="1"/>
    <col min="3" max="3" width="17.86328125" bestFit="1" customWidth="1"/>
    <col min="4" max="4" width="15.1328125" bestFit="1" customWidth="1"/>
    <col min="5" max="5" width="23.1328125" bestFit="1" customWidth="1"/>
    <col min="6" max="6" width="26.86328125" bestFit="1" customWidth="1"/>
    <col min="7" max="7" width="29.1328125" bestFit="1" customWidth="1"/>
    <col min="8" max="8" width="33" bestFit="1" customWidth="1"/>
    <col min="9" max="9" width="28" bestFit="1" customWidth="1"/>
    <col min="10" max="10" width="26.265625" bestFit="1" customWidth="1"/>
    <col min="11" max="11" width="26" bestFit="1" customWidth="1"/>
    <col min="12" max="12" width="23.1328125" bestFit="1" customWidth="1"/>
    <col min="13" max="13" width="19.265625" bestFit="1" customWidth="1"/>
    <col min="14" max="14" width="15.86328125" bestFit="1" customWidth="1"/>
    <col min="15" max="15" width="14.59765625" bestFit="1" customWidth="1"/>
    <col min="16" max="16" width="11" bestFit="1" customWidth="1"/>
    <col min="17" max="17" width="15.265625" bestFit="1" customWidth="1"/>
    <col min="18" max="18" width="20.59765625" bestFit="1" customWidth="1"/>
    <col min="19" max="19" width="10.3984375" bestFit="1" customWidth="1"/>
    <col min="20" max="20" width="43.1328125" bestFit="1" customWidth="1"/>
    <col min="21" max="21" width="22.86328125" bestFit="1" customWidth="1"/>
    <col min="22" max="22" width="23.265625" style="23" bestFit="1" customWidth="1"/>
    <col min="23" max="23" width="23.1328125" bestFit="1" customWidth="1"/>
    <col min="24" max="24" width="17" bestFit="1" customWidth="1"/>
    <col min="25" max="25" width="21.265625" bestFit="1" customWidth="1"/>
    <col min="26" max="26" width="19.73046875" bestFit="1" customWidth="1"/>
    <col min="27" max="27" width="13.59765625" bestFit="1" customWidth="1"/>
    <col min="28" max="28" width="25" style="21" bestFit="1" customWidth="1"/>
    <col min="29" max="29" width="9.59765625" bestFit="1" customWidth="1"/>
    <col min="30" max="31" width="9.59765625" customWidth="1"/>
    <col min="32" max="32" width="73.86328125" style="24" bestFit="1" customWidth="1"/>
    <col min="33" max="33" width="17" customWidth="1"/>
  </cols>
  <sheetData>
    <row r="1" spans="1:33" x14ac:dyDescent="0.45">
      <c r="A1" s="19" t="s">
        <v>17</v>
      </c>
      <c r="B1" s="19" t="s">
        <v>18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19" t="s">
        <v>34</v>
      </c>
      <c r="S1" s="19" t="s">
        <v>45</v>
      </c>
      <c r="T1" s="19" t="s">
        <v>35</v>
      </c>
      <c r="U1" s="19" t="s">
        <v>36</v>
      </c>
      <c r="V1" s="22" t="s">
        <v>37</v>
      </c>
      <c r="W1" s="22" t="s">
        <v>38</v>
      </c>
      <c r="X1" s="19" t="s">
        <v>39</v>
      </c>
      <c r="Y1" s="22" t="s">
        <v>40</v>
      </c>
      <c r="Z1" s="22" t="s">
        <v>41</v>
      </c>
      <c r="AA1" s="22" t="s">
        <v>42</v>
      </c>
      <c r="AB1" s="20" t="s">
        <v>43</v>
      </c>
      <c r="AC1" s="19" t="s">
        <v>44</v>
      </c>
      <c r="AD1" s="19" t="s">
        <v>48</v>
      </c>
      <c r="AE1" s="19" t="s">
        <v>49</v>
      </c>
      <c r="AF1" s="25" t="s">
        <v>46</v>
      </c>
      <c r="AG1" s="27" t="s">
        <v>50</v>
      </c>
    </row>
    <row r="2" spans="1:33" ht="28.5" x14ac:dyDescent="0.45">
      <c r="A2">
        <v>974731</v>
      </c>
      <c r="B2" t="s">
        <v>270</v>
      </c>
      <c r="C2" t="s">
        <v>256</v>
      </c>
      <c r="D2" t="s">
        <v>265</v>
      </c>
      <c r="E2" t="s">
        <v>1</v>
      </c>
      <c r="F2" t="s">
        <v>102</v>
      </c>
      <c r="G2" t="s">
        <v>103</v>
      </c>
      <c r="H2" t="s">
        <v>104</v>
      </c>
      <c r="I2" t="s">
        <v>64</v>
      </c>
      <c r="J2" t="s">
        <v>105</v>
      </c>
      <c r="L2" t="s">
        <v>271</v>
      </c>
      <c r="O2" t="s">
        <v>67</v>
      </c>
      <c r="P2" t="s">
        <v>272</v>
      </c>
      <c r="S2">
        <v>15408</v>
      </c>
      <c r="T2" t="s">
        <v>273</v>
      </c>
      <c r="U2" t="s">
        <v>70</v>
      </c>
      <c r="V2" s="23">
        <v>44450</v>
      </c>
      <c r="X2" t="s">
        <v>274</v>
      </c>
      <c r="Y2" s="23">
        <v>43627</v>
      </c>
      <c r="Z2" s="23">
        <v>44541</v>
      </c>
      <c r="AA2" s="23">
        <v>43654</v>
      </c>
      <c r="AB2" s="21">
        <v>37</v>
      </c>
      <c r="AC2">
        <v>26836</v>
      </c>
      <c r="AD2" t="s">
        <v>71</v>
      </c>
      <c r="AE2" t="s">
        <v>71</v>
      </c>
      <c r="AF2" s="24" t="s">
        <v>1520</v>
      </c>
      <c r="AG2" s="23"/>
    </row>
    <row r="3" spans="1:33" ht="28.5" x14ac:dyDescent="0.45">
      <c r="A3">
        <v>991679</v>
      </c>
      <c r="B3" t="s">
        <v>661</v>
      </c>
      <c r="C3" t="s">
        <v>662</v>
      </c>
      <c r="D3" t="s">
        <v>663</v>
      </c>
      <c r="E3" t="s">
        <v>0</v>
      </c>
      <c r="F3" t="s">
        <v>415</v>
      </c>
      <c r="G3" t="s">
        <v>416</v>
      </c>
      <c r="H3" t="s">
        <v>664</v>
      </c>
      <c r="I3" t="s">
        <v>64</v>
      </c>
      <c r="J3" t="s">
        <v>332</v>
      </c>
      <c r="L3" t="s">
        <v>665</v>
      </c>
      <c r="M3" t="s">
        <v>666</v>
      </c>
      <c r="N3" t="s">
        <v>334</v>
      </c>
      <c r="O3" t="s">
        <v>530</v>
      </c>
      <c r="P3" t="s">
        <v>667</v>
      </c>
      <c r="Q3" t="s">
        <v>668</v>
      </c>
      <c r="R3" t="s">
        <v>669</v>
      </c>
      <c r="S3">
        <v>15393</v>
      </c>
      <c r="T3" t="s">
        <v>670</v>
      </c>
      <c r="U3" t="s">
        <v>70</v>
      </c>
      <c r="V3" s="23">
        <v>44183</v>
      </c>
      <c r="W3" s="23">
        <v>44273</v>
      </c>
      <c r="X3" t="s">
        <v>671</v>
      </c>
      <c r="Y3" s="23">
        <v>43154</v>
      </c>
      <c r="Z3" s="23">
        <v>44273</v>
      </c>
      <c r="AA3" s="23">
        <v>43174</v>
      </c>
      <c r="AB3" s="21">
        <v>37</v>
      </c>
      <c r="AC3">
        <v>58877</v>
      </c>
      <c r="AD3" t="s">
        <v>71</v>
      </c>
      <c r="AE3" t="s">
        <v>71</v>
      </c>
      <c r="AF3" s="24" t="s">
        <v>1520</v>
      </c>
    </row>
    <row r="4" spans="1:33" ht="28.5" x14ac:dyDescent="0.45">
      <c r="A4">
        <v>991709</v>
      </c>
      <c r="B4" t="s">
        <v>673</v>
      </c>
      <c r="C4" t="s">
        <v>211</v>
      </c>
      <c r="D4" t="s">
        <v>674</v>
      </c>
      <c r="E4" t="s">
        <v>0</v>
      </c>
      <c r="F4" t="s">
        <v>456</v>
      </c>
      <c r="G4" t="s">
        <v>675</v>
      </c>
      <c r="H4" t="s">
        <v>676</v>
      </c>
      <c r="I4" t="s">
        <v>64</v>
      </c>
      <c r="J4" t="s">
        <v>536</v>
      </c>
      <c r="L4" t="s">
        <v>677</v>
      </c>
      <c r="O4" t="s">
        <v>678</v>
      </c>
      <c r="P4" t="s">
        <v>679</v>
      </c>
      <c r="Q4">
        <v>1919039990</v>
      </c>
      <c r="S4">
        <v>15387</v>
      </c>
      <c r="T4" t="s">
        <v>680</v>
      </c>
      <c r="U4" t="s">
        <v>70</v>
      </c>
      <c r="V4" s="23">
        <v>43787</v>
      </c>
      <c r="X4" t="s">
        <v>681</v>
      </c>
      <c r="Y4" s="23">
        <v>42908</v>
      </c>
      <c r="Z4" s="23">
        <v>43848</v>
      </c>
      <c r="AA4" s="23">
        <v>42976</v>
      </c>
      <c r="AB4" s="21">
        <v>37</v>
      </c>
      <c r="AC4">
        <v>65686</v>
      </c>
      <c r="AD4" t="s">
        <v>71</v>
      </c>
      <c r="AE4" t="s">
        <v>71</v>
      </c>
      <c r="AF4" s="24" t="s">
        <v>1521</v>
      </c>
      <c r="AG4" t="s">
        <v>1522</v>
      </c>
    </row>
    <row r="5" spans="1:33" ht="28.5" x14ac:dyDescent="0.45">
      <c r="A5">
        <v>992856</v>
      </c>
      <c r="B5" t="s">
        <v>732</v>
      </c>
      <c r="C5" t="s">
        <v>733</v>
      </c>
      <c r="D5" t="s">
        <v>734</v>
      </c>
      <c r="E5" t="s">
        <v>433</v>
      </c>
      <c r="F5" t="s">
        <v>735</v>
      </c>
      <c r="G5" t="s">
        <v>356</v>
      </c>
      <c r="H5" t="s">
        <v>736</v>
      </c>
      <c r="I5" t="s">
        <v>64</v>
      </c>
      <c r="J5" t="s">
        <v>437</v>
      </c>
      <c r="L5" t="s">
        <v>737</v>
      </c>
      <c r="O5" t="s">
        <v>80</v>
      </c>
      <c r="P5" t="s">
        <v>738</v>
      </c>
      <c r="S5">
        <v>15411</v>
      </c>
      <c r="T5" t="s">
        <v>739</v>
      </c>
      <c r="U5" t="s">
        <v>70</v>
      </c>
      <c r="V5" s="23">
        <v>44042</v>
      </c>
      <c r="X5" t="s">
        <v>740</v>
      </c>
      <c r="Y5" s="23">
        <v>42307</v>
      </c>
      <c r="Z5" s="23">
        <v>44134</v>
      </c>
      <c r="AA5" s="23">
        <v>42976</v>
      </c>
      <c r="AB5" s="21">
        <v>37</v>
      </c>
      <c r="AC5">
        <v>77850</v>
      </c>
      <c r="AD5" t="s">
        <v>71</v>
      </c>
      <c r="AE5" t="s">
        <v>71</v>
      </c>
      <c r="AF5" s="24" t="s">
        <v>1520</v>
      </c>
    </row>
    <row r="6" spans="1:33" ht="28.5" x14ac:dyDescent="0.45">
      <c r="A6">
        <v>993010</v>
      </c>
      <c r="B6" t="s">
        <v>751</v>
      </c>
      <c r="C6" t="s">
        <v>211</v>
      </c>
      <c r="D6" t="s">
        <v>752</v>
      </c>
      <c r="E6" t="s">
        <v>0</v>
      </c>
      <c r="F6" t="s">
        <v>415</v>
      </c>
      <c r="G6" t="s">
        <v>753</v>
      </c>
      <c r="H6" t="s">
        <v>754</v>
      </c>
      <c r="I6" t="s">
        <v>64</v>
      </c>
      <c r="J6" t="s">
        <v>548</v>
      </c>
      <c r="L6" t="s">
        <v>755</v>
      </c>
      <c r="M6" t="s">
        <v>756</v>
      </c>
      <c r="O6" t="s">
        <v>757</v>
      </c>
      <c r="P6" t="s">
        <v>758</v>
      </c>
      <c r="R6" t="s">
        <v>759</v>
      </c>
      <c r="S6">
        <v>15394</v>
      </c>
      <c r="T6" t="s">
        <v>543</v>
      </c>
      <c r="U6" t="s">
        <v>70</v>
      </c>
      <c r="V6" s="23">
        <v>44007</v>
      </c>
      <c r="W6" s="23">
        <v>44099</v>
      </c>
      <c r="X6" t="s">
        <v>760</v>
      </c>
      <c r="Y6" s="23">
        <v>42987</v>
      </c>
      <c r="Z6" s="23">
        <v>44099</v>
      </c>
      <c r="AA6" s="23">
        <v>43004</v>
      </c>
      <c r="AB6" s="21">
        <v>37</v>
      </c>
      <c r="AC6">
        <v>41018</v>
      </c>
      <c r="AD6" t="s">
        <v>71</v>
      </c>
      <c r="AE6" t="s">
        <v>71</v>
      </c>
      <c r="AF6" s="24" t="s">
        <v>1520</v>
      </c>
    </row>
    <row r="7" spans="1:33" ht="28.5" x14ac:dyDescent="0.45">
      <c r="A7">
        <v>993476</v>
      </c>
      <c r="B7" t="s">
        <v>781</v>
      </c>
      <c r="C7" t="s">
        <v>90</v>
      </c>
      <c r="D7" t="s">
        <v>782</v>
      </c>
      <c r="E7" t="s">
        <v>320</v>
      </c>
      <c r="F7" t="s">
        <v>356</v>
      </c>
      <c r="G7" t="s">
        <v>783</v>
      </c>
      <c r="H7" t="s">
        <v>784</v>
      </c>
      <c r="I7" t="s">
        <v>64</v>
      </c>
      <c r="J7" t="s">
        <v>359</v>
      </c>
      <c r="L7" t="s">
        <v>785</v>
      </c>
      <c r="O7" t="s">
        <v>786</v>
      </c>
      <c r="P7" t="s">
        <v>787</v>
      </c>
      <c r="S7">
        <v>15404</v>
      </c>
      <c r="T7" t="s">
        <v>585</v>
      </c>
      <c r="U7" t="s">
        <v>70</v>
      </c>
      <c r="V7" s="23">
        <v>43845</v>
      </c>
      <c r="X7">
        <v>9345232</v>
      </c>
      <c r="Y7" s="23">
        <v>42109</v>
      </c>
      <c r="Z7" s="23">
        <v>43936</v>
      </c>
      <c r="AA7" s="23">
        <v>42976</v>
      </c>
      <c r="AB7" s="21">
        <v>37</v>
      </c>
      <c r="AC7">
        <v>60218</v>
      </c>
      <c r="AD7" t="s">
        <v>71</v>
      </c>
      <c r="AE7" t="s">
        <v>71</v>
      </c>
      <c r="AF7" s="24" t="s">
        <v>1520</v>
      </c>
    </row>
    <row r="8" spans="1:33" ht="28.5" x14ac:dyDescent="0.45">
      <c r="A8">
        <v>993794</v>
      </c>
      <c r="B8" t="s">
        <v>788</v>
      </c>
      <c r="C8" t="s">
        <v>83</v>
      </c>
      <c r="D8" t="s">
        <v>516</v>
      </c>
      <c r="E8" t="s">
        <v>517</v>
      </c>
      <c r="F8" t="s">
        <v>518</v>
      </c>
      <c r="G8" t="s">
        <v>519</v>
      </c>
      <c r="H8" t="s">
        <v>520</v>
      </c>
      <c r="I8" t="s">
        <v>64</v>
      </c>
      <c r="J8" t="s">
        <v>180</v>
      </c>
      <c r="L8" t="s">
        <v>789</v>
      </c>
      <c r="M8" t="s">
        <v>790</v>
      </c>
      <c r="N8" t="s">
        <v>791</v>
      </c>
      <c r="O8" t="s">
        <v>792</v>
      </c>
      <c r="P8" t="s">
        <v>793</v>
      </c>
      <c r="S8">
        <v>15409</v>
      </c>
      <c r="T8" t="s">
        <v>794</v>
      </c>
      <c r="U8" t="s">
        <v>70</v>
      </c>
      <c r="V8" s="23">
        <v>43846</v>
      </c>
      <c r="X8" t="s">
        <v>795</v>
      </c>
      <c r="Y8" s="23">
        <v>42829</v>
      </c>
      <c r="Z8" s="23">
        <v>43937</v>
      </c>
      <c r="AA8" s="23">
        <v>43011</v>
      </c>
      <c r="AB8" s="21">
        <v>37</v>
      </c>
      <c r="AC8">
        <v>24700</v>
      </c>
      <c r="AD8" t="s">
        <v>71</v>
      </c>
      <c r="AE8" t="s">
        <v>71</v>
      </c>
      <c r="AF8" s="24" t="s">
        <v>1520</v>
      </c>
    </row>
    <row r="9" spans="1:33" ht="28.5" x14ac:dyDescent="0.45">
      <c r="A9">
        <v>993857</v>
      </c>
      <c r="B9" t="s">
        <v>796</v>
      </c>
      <c r="C9" t="s">
        <v>153</v>
      </c>
      <c r="D9" t="s">
        <v>797</v>
      </c>
      <c r="E9" t="s">
        <v>433</v>
      </c>
      <c r="F9" t="s">
        <v>798</v>
      </c>
      <c r="G9" t="s">
        <v>799</v>
      </c>
      <c r="H9" t="s">
        <v>800</v>
      </c>
      <c r="I9" t="s">
        <v>64</v>
      </c>
      <c r="J9" t="s">
        <v>437</v>
      </c>
      <c r="L9" t="s">
        <v>801</v>
      </c>
      <c r="O9" t="s">
        <v>80</v>
      </c>
      <c r="P9" t="s">
        <v>802</v>
      </c>
      <c r="R9" t="s">
        <v>803</v>
      </c>
      <c r="S9">
        <v>15394</v>
      </c>
      <c r="T9" t="s">
        <v>543</v>
      </c>
      <c r="U9" t="s">
        <v>70</v>
      </c>
      <c r="V9" s="23">
        <v>44295</v>
      </c>
      <c r="W9" s="23">
        <v>44386</v>
      </c>
      <c r="X9" t="s">
        <v>804</v>
      </c>
      <c r="Y9" s="23">
        <v>43363</v>
      </c>
      <c r="Z9" s="23">
        <v>44386</v>
      </c>
      <c r="AA9" s="23">
        <v>42976</v>
      </c>
      <c r="AB9" s="21">
        <v>37</v>
      </c>
      <c r="AC9">
        <v>43570</v>
      </c>
      <c r="AD9" t="s">
        <v>71</v>
      </c>
      <c r="AE9" t="s">
        <v>71</v>
      </c>
      <c r="AF9" s="24" t="s">
        <v>1520</v>
      </c>
    </row>
    <row r="10" spans="1:33" ht="28.5" x14ac:dyDescent="0.45">
      <c r="A10">
        <v>994816</v>
      </c>
      <c r="B10" t="s">
        <v>813</v>
      </c>
      <c r="C10" t="s">
        <v>192</v>
      </c>
      <c r="D10" t="s">
        <v>814</v>
      </c>
      <c r="E10" t="s">
        <v>320</v>
      </c>
      <c r="F10" t="s">
        <v>356</v>
      </c>
      <c r="G10" t="s">
        <v>357</v>
      </c>
      <c r="H10" t="s">
        <v>815</v>
      </c>
      <c r="I10" t="s">
        <v>64</v>
      </c>
      <c r="J10" t="s">
        <v>320</v>
      </c>
      <c r="L10" t="s">
        <v>816</v>
      </c>
      <c r="O10" t="s">
        <v>817</v>
      </c>
      <c r="P10" t="s">
        <v>818</v>
      </c>
      <c r="S10">
        <v>15409</v>
      </c>
      <c r="T10" t="s">
        <v>794</v>
      </c>
      <c r="U10" t="s">
        <v>70</v>
      </c>
      <c r="V10" s="23">
        <v>43812</v>
      </c>
      <c r="X10" t="s">
        <v>819</v>
      </c>
      <c r="Y10" s="23">
        <v>43150</v>
      </c>
      <c r="Z10" s="23">
        <v>43904</v>
      </c>
      <c r="AA10" s="23">
        <v>43178</v>
      </c>
      <c r="AB10" s="21">
        <v>37</v>
      </c>
      <c r="AC10">
        <v>39539</v>
      </c>
      <c r="AD10" t="s">
        <v>71</v>
      </c>
      <c r="AE10" t="s">
        <v>71</v>
      </c>
      <c r="AF10" s="24" t="s">
        <v>1523</v>
      </c>
      <c r="AG10" s="35">
        <v>43466</v>
      </c>
    </row>
    <row r="11" spans="1:33" ht="28.5" x14ac:dyDescent="0.45">
      <c r="A11">
        <v>994816</v>
      </c>
      <c r="B11" t="s">
        <v>813</v>
      </c>
      <c r="C11" t="s">
        <v>192</v>
      </c>
      <c r="D11" t="s">
        <v>814</v>
      </c>
      <c r="E11" t="s">
        <v>320</v>
      </c>
      <c r="F11" t="s">
        <v>356</v>
      </c>
      <c r="G11" t="s">
        <v>357</v>
      </c>
      <c r="H11" t="s">
        <v>815</v>
      </c>
      <c r="I11" t="s">
        <v>64</v>
      </c>
      <c r="J11" t="s">
        <v>320</v>
      </c>
      <c r="L11" t="s">
        <v>816</v>
      </c>
      <c r="O11" t="s">
        <v>817</v>
      </c>
      <c r="P11" t="s">
        <v>818</v>
      </c>
      <c r="S11">
        <v>15409</v>
      </c>
      <c r="T11" t="s">
        <v>794</v>
      </c>
      <c r="U11" t="s">
        <v>70</v>
      </c>
      <c r="V11" s="23">
        <v>42779</v>
      </c>
      <c r="X11" t="s">
        <v>820</v>
      </c>
      <c r="Y11" s="23">
        <v>42751</v>
      </c>
      <c r="Z11" s="23">
        <v>43173</v>
      </c>
      <c r="AA11" s="23">
        <v>42976</v>
      </c>
      <c r="AB11" s="21">
        <v>37</v>
      </c>
      <c r="AC11">
        <v>39539</v>
      </c>
      <c r="AD11" t="s">
        <v>71</v>
      </c>
      <c r="AE11" t="s">
        <v>71</v>
      </c>
      <c r="AF11" s="24" t="s">
        <v>1523</v>
      </c>
      <c r="AG11" s="35">
        <v>43466</v>
      </c>
    </row>
    <row r="12" spans="1:33" ht="42.75" x14ac:dyDescent="0.45">
      <c r="A12">
        <v>994842</v>
      </c>
      <c r="B12" t="s">
        <v>821</v>
      </c>
      <c r="C12" t="s">
        <v>278</v>
      </c>
      <c r="D12" t="s">
        <v>822</v>
      </c>
      <c r="E12" t="s">
        <v>0</v>
      </c>
      <c r="F12" t="s">
        <v>415</v>
      </c>
      <c r="G12" t="s">
        <v>534</v>
      </c>
      <c r="H12" t="s">
        <v>823</v>
      </c>
      <c r="I12" t="s">
        <v>64</v>
      </c>
      <c r="J12" t="s">
        <v>775</v>
      </c>
      <c r="L12" t="s">
        <v>824</v>
      </c>
      <c r="O12" t="s">
        <v>825</v>
      </c>
      <c r="P12" t="s">
        <v>826</v>
      </c>
      <c r="R12" t="s">
        <v>827</v>
      </c>
      <c r="S12">
        <v>15394</v>
      </c>
      <c r="T12" t="s">
        <v>543</v>
      </c>
      <c r="U12" t="s">
        <v>70</v>
      </c>
      <c r="V12" s="23">
        <v>44713</v>
      </c>
      <c r="W12" s="23">
        <v>44805</v>
      </c>
      <c r="X12" t="s">
        <v>828</v>
      </c>
      <c r="Y12" s="23">
        <v>43721</v>
      </c>
      <c r="Z12" s="23">
        <v>44805</v>
      </c>
      <c r="AA12" s="23">
        <v>43789</v>
      </c>
      <c r="AB12" s="21">
        <v>37</v>
      </c>
      <c r="AC12">
        <v>34809</v>
      </c>
      <c r="AD12" t="s">
        <v>71</v>
      </c>
      <c r="AE12" t="s">
        <v>71</v>
      </c>
      <c r="AF12" s="24" t="s">
        <v>1524</v>
      </c>
      <c r="AG12" s="35">
        <v>43466</v>
      </c>
    </row>
    <row r="13" spans="1:33" ht="42.75" x14ac:dyDescent="0.45">
      <c r="A13">
        <v>994842</v>
      </c>
      <c r="B13" t="s">
        <v>821</v>
      </c>
      <c r="C13" t="s">
        <v>278</v>
      </c>
      <c r="D13" t="s">
        <v>822</v>
      </c>
      <c r="E13" t="s">
        <v>0</v>
      </c>
      <c r="F13" t="s">
        <v>415</v>
      </c>
      <c r="G13" t="s">
        <v>534</v>
      </c>
      <c r="H13" t="s">
        <v>823</v>
      </c>
      <c r="I13" t="s">
        <v>64</v>
      </c>
      <c r="J13" t="s">
        <v>775</v>
      </c>
      <c r="L13" t="s">
        <v>824</v>
      </c>
      <c r="O13" t="s">
        <v>825</v>
      </c>
      <c r="P13" t="s">
        <v>826</v>
      </c>
      <c r="R13" t="s">
        <v>829</v>
      </c>
      <c r="S13">
        <v>15393</v>
      </c>
      <c r="T13" t="s">
        <v>670</v>
      </c>
      <c r="U13" t="s">
        <v>70</v>
      </c>
      <c r="V13" s="23">
        <v>43672</v>
      </c>
      <c r="W13" s="23">
        <v>43727</v>
      </c>
      <c r="X13" t="s">
        <v>830</v>
      </c>
      <c r="Y13" s="23">
        <v>42614</v>
      </c>
      <c r="Z13" s="23">
        <v>43727</v>
      </c>
      <c r="AA13" s="23">
        <v>42976</v>
      </c>
      <c r="AB13" s="21">
        <v>37</v>
      </c>
      <c r="AC13">
        <v>34809</v>
      </c>
      <c r="AD13" t="s">
        <v>71</v>
      </c>
      <c r="AE13" t="s">
        <v>71</v>
      </c>
      <c r="AF13" s="24" t="s">
        <v>1524</v>
      </c>
      <c r="AG13" s="35">
        <v>43466</v>
      </c>
    </row>
    <row r="14" spans="1:33" ht="42.75" x14ac:dyDescent="0.45">
      <c r="A14">
        <v>994980</v>
      </c>
      <c r="B14" t="s">
        <v>842</v>
      </c>
      <c r="C14" t="s">
        <v>379</v>
      </c>
      <c r="D14" t="s">
        <v>843</v>
      </c>
      <c r="E14" t="s">
        <v>320</v>
      </c>
      <c r="F14" t="s">
        <v>844</v>
      </c>
      <c r="G14" t="s">
        <v>845</v>
      </c>
      <c r="H14" t="s">
        <v>846</v>
      </c>
      <c r="I14" t="s">
        <v>64</v>
      </c>
      <c r="J14" t="s">
        <v>359</v>
      </c>
      <c r="L14" t="s">
        <v>847</v>
      </c>
      <c r="M14" t="s">
        <v>848</v>
      </c>
      <c r="N14" t="s">
        <v>849</v>
      </c>
      <c r="O14" t="s">
        <v>850</v>
      </c>
      <c r="P14" t="s">
        <v>851</v>
      </c>
      <c r="R14" t="s">
        <v>852</v>
      </c>
      <c r="S14">
        <v>15393</v>
      </c>
      <c r="T14" t="s">
        <v>670</v>
      </c>
      <c r="U14" t="s">
        <v>70</v>
      </c>
      <c r="V14" s="23">
        <v>43672</v>
      </c>
      <c r="W14" s="23">
        <v>43727</v>
      </c>
      <c r="X14" t="s">
        <v>853</v>
      </c>
      <c r="Y14" s="23">
        <v>42641</v>
      </c>
      <c r="Z14" s="23">
        <v>43727</v>
      </c>
      <c r="AA14" s="23">
        <v>42976</v>
      </c>
      <c r="AB14" s="21">
        <v>37</v>
      </c>
      <c r="AC14">
        <v>37985</v>
      </c>
      <c r="AD14" t="s">
        <v>71</v>
      </c>
      <c r="AE14" t="s">
        <v>71</v>
      </c>
      <c r="AF14" s="24" t="s">
        <v>1525</v>
      </c>
      <c r="AG14" s="35">
        <v>43466</v>
      </c>
    </row>
    <row r="15" spans="1:33" ht="28.5" x14ac:dyDescent="0.45">
      <c r="A15">
        <v>995355</v>
      </c>
      <c r="B15" t="s">
        <v>859</v>
      </c>
      <c r="C15" t="s">
        <v>860</v>
      </c>
      <c r="D15" t="s">
        <v>111</v>
      </c>
      <c r="E15" t="s">
        <v>60</v>
      </c>
      <c r="F15" t="s">
        <v>61</v>
      </c>
      <c r="G15" t="s">
        <v>112</v>
      </c>
      <c r="H15" t="s">
        <v>861</v>
      </c>
      <c r="I15" t="s">
        <v>64</v>
      </c>
      <c r="J15" t="s">
        <v>114</v>
      </c>
      <c r="L15" t="s">
        <v>862</v>
      </c>
      <c r="M15" t="s">
        <v>863</v>
      </c>
      <c r="O15" t="s">
        <v>80</v>
      </c>
      <c r="P15" t="s">
        <v>864</v>
      </c>
      <c r="R15" t="s">
        <v>865</v>
      </c>
      <c r="S15">
        <v>15393</v>
      </c>
      <c r="T15" t="s">
        <v>670</v>
      </c>
      <c r="U15" t="s">
        <v>70</v>
      </c>
      <c r="V15" s="23">
        <v>43818</v>
      </c>
      <c r="W15" s="23">
        <v>43909</v>
      </c>
      <c r="X15" t="s">
        <v>866</v>
      </c>
      <c r="Y15" s="23">
        <v>42796</v>
      </c>
      <c r="Z15" s="23">
        <v>43909</v>
      </c>
      <c r="AA15" s="23">
        <v>42976</v>
      </c>
      <c r="AB15" s="21">
        <v>37</v>
      </c>
      <c r="AC15">
        <v>51000</v>
      </c>
      <c r="AD15" t="s">
        <v>71</v>
      </c>
      <c r="AE15" t="s">
        <v>71</v>
      </c>
      <c r="AF15" s="24" t="s">
        <v>1520</v>
      </c>
    </row>
    <row r="16" spans="1:33" ht="28.5" x14ac:dyDescent="0.45">
      <c r="A16">
        <v>995565</v>
      </c>
      <c r="B16" t="s">
        <v>867</v>
      </c>
      <c r="C16" t="s">
        <v>868</v>
      </c>
      <c r="D16" t="s">
        <v>869</v>
      </c>
      <c r="E16" t="s">
        <v>1</v>
      </c>
      <c r="F16" t="s">
        <v>102</v>
      </c>
      <c r="G16" t="s">
        <v>170</v>
      </c>
      <c r="H16" t="s">
        <v>870</v>
      </c>
      <c r="I16" t="s">
        <v>808</v>
      </c>
      <c r="J16" t="s">
        <v>281</v>
      </c>
      <c r="K16" t="s">
        <v>77</v>
      </c>
      <c r="L16" t="s">
        <v>871</v>
      </c>
      <c r="M16" t="s">
        <v>872</v>
      </c>
      <c r="O16" t="s">
        <v>873</v>
      </c>
      <c r="P16" t="s">
        <v>874</v>
      </c>
      <c r="S16">
        <v>15407</v>
      </c>
      <c r="T16" t="s">
        <v>474</v>
      </c>
      <c r="U16" t="s">
        <v>70</v>
      </c>
      <c r="V16" s="23">
        <v>44634</v>
      </c>
      <c r="X16" t="s">
        <v>875</v>
      </c>
      <c r="Y16" s="23">
        <v>42900</v>
      </c>
      <c r="Z16" s="23">
        <v>44726</v>
      </c>
      <c r="AA16" s="23">
        <v>42976</v>
      </c>
      <c r="AB16" s="21">
        <v>40</v>
      </c>
      <c r="AC16">
        <v>27263</v>
      </c>
      <c r="AD16" t="s">
        <v>71</v>
      </c>
      <c r="AE16" t="s">
        <v>71</v>
      </c>
      <c r="AF16" s="24" t="s">
        <v>1520</v>
      </c>
    </row>
    <row r="17" spans="1:33" ht="28.5" x14ac:dyDescent="0.45">
      <c r="A17">
        <v>996195</v>
      </c>
      <c r="B17" t="s">
        <v>885</v>
      </c>
      <c r="C17" t="s">
        <v>192</v>
      </c>
      <c r="D17" t="s">
        <v>886</v>
      </c>
      <c r="E17" t="s">
        <v>433</v>
      </c>
      <c r="F17" t="s">
        <v>735</v>
      </c>
      <c r="G17" t="s">
        <v>356</v>
      </c>
      <c r="H17" t="s">
        <v>887</v>
      </c>
      <c r="I17" t="s">
        <v>64</v>
      </c>
      <c r="J17" t="s">
        <v>888</v>
      </c>
      <c r="L17" t="s">
        <v>889</v>
      </c>
      <c r="O17" t="s">
        <v>539</v>
      </c>
      <c r="P17" t="s">
        <v>890</v>
      </c>
      <c r="R17" t="s">
        <v>891</v>
      </c>
      <c r="S17">
        <v>15394</v>
      </c>
      <c r="T17" t="s">
        <v>543</v>
      </c>
      <c r="U17" t="s">
        <v>70</v>
      </c>
      <c r="V17" s="23">
        <v>45128</v>
      </c>
      <c r="W17" s="23">
        <v>45220</v>
      </c>
      <c r="X17" t="s">
        <v>892</v>
      </c>
      <c r="Y17" s="23">
        <v>43700</v>
      </c>
      <c r="Z17" s="23">
        <v>45220</v>
      </c>
      <c r="AA17" s="23">
        <v>43718</v>
      </c>
      <c r="AB17" s="21">
        <v>37</v>
      </c>
      <c r="AC17">
        <v>33100</v>
      </c>
      <c r="AD17" t="s">
        <v>71</v>
      </c>
      <c r="AE17" t="s">
        <v>71</v>
      </c>
      <c r="AF17" s="24" t="s">
        <v>1520</v>
      </c>
    </row>
    <row r="18" spans="1:33" ht="28.5" x14ac:dyDescent="0.45">
      <c r="A18">
        <v>20001369</v>
      </c>
      <c r="B18" t="s">
        <v>1228</v>
      </c>
      <c r="C18" t="s">
        <v>83</v>
      </c>
      <c r="D18" t="s">
        <v>1229</v>
      </c>
      <c r="E18" t="s">
        <v>433</v>
      </c>
      <c r="F18" t="s">
        <v>434</v>
      </c>
      <c r="G18" t="s">
        <v>1230</v>
      </c>
      <c r="H18" t="s">
        <v>436</v>
      </c>
      <c r="I18" t="s">
        <v>64</v>
      </c>
      <c r="J18" t="s">
        <v>437</v>
      </c>
      <c r="L18" t="s">
        <v>1231</v>
      </c>
      <c r="M18" t="s">
        <v>1232</v>
      </c>
      <c r="O18" t="s">
        <v>1233</v>
      </c>
      <c r="P18" t="s">
        <v>1234</v>
      </c>
      <c r="R18" t="s">
        <v>1235</v>
      </c>
      <c r="S18">
        <v>15393</v>
      </c>
      <c r="T18" t="s">
        <v>670</v>
      </c>
      <c r="U18" t="s">
        <v>70</v>
      </c>
      <c r="V18" s="23">
        <v>44091</v>
      </c>
      <c r="W18" s="23">
        <v>44166</v>
      </c>
      <c r="X18" t="s">
        <v>1236</v>
      </c>
      <c r="Y18" s="23">
        <v>43070</v>
      </c>
      <c r="Z18" s="23">
        <v>44182</v>
      </c>
      <c r="AA18" s="23">
        <v>43081</v>
      </c>
      <c r="AB18" s="21">
        <v>37</v>
      </c>
      <c r="AC18">
        <v>51900</v>
      </c>
      <c r="AD18" t="s">
        <v>71</v>
      </c>
      <c r="AE18" t="s">
        <v>71</v>
      </c>
      <c r="AF18" s="24" t="s">
        <v>1520</v>
      </c>
    </row>
    <row r="19" spans="1:33" ht="28.5" x14ac:dyDescent="0.45">
      <c r="A19">
        <v>20001571</v>
      </c>
      <c r="B19" t="s">
        <v>1237</v>
      </c>
      <c r="C19" t="s">
        <v>211</v>
      </c>
      <c r="D19" t="s">
        <v>1238</v>
      </c>
      <c r="E19" t="s">
        <v>1</v>
      </c>
      <c r="F19" t="s">
        <v>74</v>
      </c>
      <c r="G19" t="s">
        <v>75</v>
      </c>
      <c r="H19" t="s">
        <v>1239</v>
      </c>
      <c r="I19" t="s">
        <v>64</v>
      </c>
      <c r="J19" t="s">
        <v>77</v>
      </c>
      <c r="L19" t="s">
        <v>1240</v>
      </c>
      <c r="O19" t="s">
        <v>1241</v>
      </c>
      <c r="P19" t="s">
        <v>1242</v>
      </c>
      <c r="S19">
        <v>15409</v>
      </c>
      <c r="T19" t="s">
        <v>794</v>
      </c>
      <c r="U19" t="s">
        <v>70</v>
      </c>
      <c r="V19" s="23">
        <v>44389</v>
      </c>
      <c r="X19" t="s">
        <v>1243</v>
      </c>
      <c r="Y19" s="23">
        <v>43551</v>
      </c>
      <c r="Z19" s="23">
        <v>44481</v>
      </c>
      <c r="AA19" s="23">
        <v>43564</v>
      </c>
      <c r="AB19" s="21">
        <v>37</v>
      </c>
      <c r="AC19">
        <v>29467</v>
      </c>
      <c r="AD19" t="s">
        <v>71</v>
      </c>
      <c r="AE19" t="s">
        <v>71</v>
      </c>
      <c r="AF19" s="24" t="s">
        <v>1520</v>
      </c>
    </row>
    <row r="20" spans="1:33" ht="28.5" x14ac:dyDescent="0.45">
      <c r="A20">
        <v>20001608</v>
      </c>
      <c r="B20" t="s">
        <v>1246</v>
      </c>
      <c r="C20" t="s">
        <v>1206</v>
      </c>
      <c r="D20" t="s">
        <v>424</v>
      </c>
      <c r="E20" t="s">
        <v>320</v>
      </c>
      <c r="F20" t="s">
        <v>356</v>
      </c>
      <c r="G20" t="s">
        <v>425</v>
      </c>
      <c r="H20" t="s">
        <v>598</v>
      </c>
      <c r="I20" t="s">
        <v>64</v>
      </c>
      <c r="J20" t="s">
        <v>320</v>
      </c>
      <c r="K20" t="s">
        <v>427</v>
      </c>
      <c r="L20" t="s">
        <v>1247</v>
      </c>
      <c r="M20" t="s">
        <v>1248</v>
      </c>
      <c r="O20" t="s">
        <v>850</v>
      </c>
      <c r="P20" t="s">
        <v>1249</v>
      </c>
      <c r="R20" t="s">
        <v>1250</v>
      </c>
      <c r="S20">
        <v>15393</v>
      </c>
      <c r="T20" t="s">
        <v>670</v>
      </c>
      <c r="U20" t="s">
        <v>70</v>
      </c>
      <c r="V20" s="23">
        <v>44099</v>
      </c>
      <c r="W20" s="23">
        <v>44190</v>
      </c>
      <c r="X20" t="s">
        <v>1251</v>
      </c>
      <c r="Y20" s="23">
        <v>43092</v>
      </c>
      <c r="Z20" s="23">
        <v>44190</v>
      </c>
      <c r="AA20" s="23">
        <v>43108</v>
      </c>
      <c r="AB20" s="21">
        <v>37</v>
      </c>
      <c r="AC20">
        <v>35975</v>
      </c>
      <c r="AD20" t="s">
        <v>71</v>
      </c>
      <c r="AE20" t="s">
        <v>71</v>
      </c>
      <c r="AF20" s="24" t="s">
        <v>1520</v>
      </c>
    </row>
    <row r="21" spans="1:33" ht="28.5" x14ac:dyDescent="0.45">
      <c r="A21">
        <v>20003879</v>
      </c>
      <c r="B21" t="s">
        <v>1258</v>
      </c>
      <c r="C21" t="s">
        <v>399</v>
      </c>
      <c r="D21" t="s">
        <v>1259</v>
      </c>
      <c r="E21" t="s">
        <v>467</v>
      </c>
      <c r="F21" t="s">
        <v>1260</v>
      </c>
      <c r="G21" t="s">
        <v>1261</v>
      </c>
      <c r="H21" t="s">
        <v>1262</v>
      </c>
      <c r="I21" t="s">
        <v>64</v>
      </c>
      <c r="J21" t="s">
        <v>114</v>
      </c>
      <c r="L21" t="s">
        <v>1263</v>
      </c>
      <c r="M21" t="s">
        <v>1264</v>
      </c>
      <c r="N21" t="s">
        <v>1265</v>
      </c>
      <c r="O21" t="s">
        <v>80</v>
      </c>
      <c r="P21" t="s">
        <v>1266</v>
      </c>
      <c r="S21">
        <v>15404</v>
      </c>
      <c r="T21" t="s">
        <v>585</v>
      </c>
      <c r="U21" t="s">
        <v>70</v>
      </c>
      <c r="V21" s="23">
        <v>44245</v>
      </c>
      <c r="X21" t="s">
        <v>1267</v>
      </c>
      <c r="Y21" s="23">
        <v>42494</v>
      </c>
      <c r="Z21" s="23">
        <v>44334</v>
      </c>
      <c r="AA21" s="23">
        <v>43308</v>
      </c>
      <c r="AB21" s="21">
        <v>37</v>
      </c>
      <c r="AC21">
        <v>75938</v>
      </c>
      <c r="AD21" t="s">
        <v>71</v>
      </c>
      <c r="AE21" t="s">
        <v>71</v>
      </c>
      <c r="AF21" s="24" t="s">
        <v>1520</v>
      </c>
    </row>
    <row r="22" spans="1:33" ht="28.5" x14ac:dyDescent="0.45">
      <c r="A22">
        <v>20004486</v>
      </c>
      <c r="B22" t="s">
        <v>1268</v>
      </c>
      <c r="C22" t="s">
        <v>554</v>
      </c>
      <c r="D22" t="s">
        <v>1269</v>
      </c>
      <c r="E22" t="s">
        <v>517</v>
      </c>
      <c r="F22" t="s">
        <v>1270</v>
      </c>
      <c r="G22" t="s">
        <v>1271</v>
      </c>
      <c r="H22" t="s">
        <v>1272</v>
      </c>
      <c r="I22" t="s">
        <v>64</v>
      </c>
      <c r="J22" t="s">
        <v>105</v>
      </c>
      <c r="L22" t="s">
        <v>1273</v>
      </c>
      <c r="M22" t="s">
        <v>1274</v>
      </c>
      <c r="O22" t="s">
        <v>80</v>
      </c>
      <c r="P22" t="s">
        <v>1275</v>
      </c>
      <c r="R22" t="s">
        <v>1276</v>
      </c>
      <c r="S22">
        <v>15393</v>
      </c>
      <c r="T22" t="s">
        <v>670</v>
      </c>
      <c r="U22" t="s">
        <v>70</v>
      </c>
      <c r="V22" s="23">
        <v>44371</v>
      </c>
      <c r="W22" s="23">
        <v>44463</v>
      </c>
      <c r="X22" t="s">
        <v>1277</v>
      </c>
      <c r="Y22" s="23">
        <v>43298</v>
      </c>
      <c r="Z22" s="23">
        <v>44463</v>
      </c>
      <c r="AA22" s="23">
        <v>43363</v>
      </c>
      <c r="AB22" s="21">
        <v>37</v>
      </c>
      <c r="AC22">
        <v>30000</v>
      </c>
      <c r="AD22" t="s">
        <v>71</v>
      </c>
      <c r="AE22" t="s">
        <v>71</v>
      </c>
      <c r="AF22" s="24" t="s">
        <v>1520</v>
      </c>
    </row>
    <row r="23" spans="1:33" ht="28.5" x14ac:dyDescent="0.45">
      <c r="A23">
        <v>20004516</v>
      </c>
      <c r="B23" t="s">
        <v>1278</v>
      </c>
      <c r="C23" t="s">
        <v>399</v>
      </c>
      <c r="D23" t="s">
        <v>1279</v>
      </c>
      <c r="E23" t="s">
        <v>1</v>
      </c>
      <c r="F23" t="s">
        <v>74</v>
      </c>
      <c r="G23" t="s">
        <v>706</v>
      </c>
      <c r="H23" t="s">
        <v>1280</v>
      </c>
      <c r="I23" t="s">
        <v>64</v>
      </c>
      <c r="J23" t="s">
        <v>131</v>
      </c>
      <c r="L23" t="s">
        <v>1281</v>
      </c>
      <c r="O23" t="s">
        <v>1282</v>
      </c>
      <c r="P23" t="s">
        <v>1283</v>
      </c>
      <c r="S23">
        <v>15407</v>
      </c>
      <c r="T23" t="s">
        <v>474</v>
      </c>
      <c r="U23" t="s">
        <v>70</v>
      </c>
      <c r="V23" s="23">
        <v>44084</v>
      </c>
      <c r="X23" t="s">
        <v>1284</v>
      </c>
      <c r="Y23" s="23">
        <v>43255</v>
      </c>
      <c r="Z23" s="23">
        <v>44175</v>
      </c>
      <c r="AA23" s="23">
        <v>43745</v>
      </c>
      <c r="AB23" s="21">
        <v>37</v>
      </c>
      <c r="AC23">
        <v>36800</v>
      </c>
      <c r="AD23" t="s">
        <v>71</v>
      </c>
      <c r="AE23" t="s">
        <v>71</v>
      </c>
      <c r="AF23" s="24" t="s">
        <v>1520</v>
      </c>
    </row>
    <row r="24" spans="1:33" ht="28.5" x14ac:dyDescent="0.45">
      <c r="A24">
        <v>20004710</v>
      </c>
      <c r="B24" t="s">
        <v>1285</v>
      </c>
      <c r="C24" t="s">
        <v>145</v>
      </c>
      <c r="D24" t="s">
        <v>1286</v>
      </c>
      <c r="E24" t="s">
        <v>1</v>
      </c>
      <c r="F24" t="s">
        <v>604</v>
      </c>
      <c r="G24" t="s">
        <v>1287</v>
      </c>
      <c r="H24" t="s">
        <v>1288</v>
      </c>
      <c r="I24" t="s">
        <v>64</v>
      </c>
      <c r="J24" t="s">
        <v>65</v>
      </c>
      <c r="L24" t="s">
        <v>1289</v>
      </c>
      <c r="M24" t="s">
        <v>1290</v>
      </c>
      <c r="O24" t="s">
        <v>710</v>
      </c>
      <c r="P24" t="s">
        <v>1291</v>
      </c>
      <c r="R24" t="s">
        <v>1292</v>
      </c>
      <c r="S24">
        <v>15393</v>
      </c>
      <c r="T24" t="s">
        <v>670</v>
      </c>
      <c r="U24" t="s">
        <v>70</v>
      </c>
      <c r="V24" s="23">
        <v>44377</v>
      </c>
      <c r="W24" s="23">
        <v>44469</v>
      </c>
      <c r="X24" t="s">
        <v>1293</v>
      </c>
      <c r="Y24" s="23">
        <v>43341</v>
      </c>
      <c r="Z24" s="23">
        <v>44469</v>
      </c>
      <c r="AA24" s="23">
        <v>43354</v>
      </c>
      <c r="AB24" s="21">
        <v>37</v>
      </c>
      <c r="AC24">
        <v>55000</v>
      </c>
      <c r="AD24" t="s">
        <v>71</v>
      </c>
      <c r="AE24" t="s">
        <v>71</v>
      </c>
      <c r="AF24" s="24" t="s">
        <v>1520</v>
      </c>
    </row>
    <row r="25" spans="1:33" ht="28.5" x14ac:dyDescent="0.45">
      <c r="A25">
        <v>20004918</v>
      </c>
      <c r="B25" t="s">
        <v>1294</v>
      </c>
      <c r="C25" t="s">
        <v>484</v>
      </c>
      <c r="D25" t="s">
        <v>1295</v>
      </c>
      <c r="E25" t="s">
        <v>1</v>
      </c>
      <c r="F25" t="s">
        <v>74</v>
      </c>
      <c r="G25" t="s">
        <v>75</v>
      </c>
      <c r="H25" t="s">
        <v>1296</v>
      </c>
      <c r="I25" t="s">
        <v>64</v>
      </c>
      <c r="J25" t="s">
        <v>65</v>
      </c>
      <c r="L25" t="s">
        <v>1297</v>
      </c>
      <c r="M25" t="s">
        <v>1298</v>
      </c>
      <c r="O25" t="s">
        <v>80</v>
      </c>
      <c r="P25" t="s">
        <v>1299</v>
      </c>
      <c r="S25">
        <v>15409</v>
      </c>
      <c r="T25" t="s">
        <v>794</v>
      </c>
      <c r="U25" t="s">
        <v>70</v>
      </c>
      <c r="V25" s="23">
        <v>44237</v>
      </c>
      <c r="X25" t="s">
        <v>1300</v>
      </c>
      <c r="Y25" s="23">
        <v>43595</v>
      </c>
      <c r="Z25" s="23">
        <v>44326</v>
      </c>
      <c r="AA25" s="23">
        <v>43607</v>
      </c>
      <c r="AB25" s="21">
        <v>37</v>
      </c>
      <c r="AC25">
        <v>61350</v>
      </c>
      <c r="AD25" t="s">
        <v>71</v>
      </c>
      <c r="AE25" t="s">
        <v>71</v>
      </c>
      <c r="AF25" s="24" t="s">
        <v>1520</v>
      </c>
    </row>
    <row r="26" spans="1:33" ht="28.5" x14ac:dyDescent="0.45">
      <c r="A26">
        <v>20004988</v>
      </c>
      <c r="B26" t="s">
        <v>1303</v>
      </c>
      <c r="C26" t="s">
        <v>153</v>
      </c>
      <c r="D26" t="s">
        <v>1304</v>
      </c>
      <c r="E26" t="s">
        <v>0</v>
      </c>
      <c r="F26" t="s">
        <v>415</v>
      </c>
      <c r="G26" t="s">
        <v>416</v>
      </c>
      <c r="H26" t="s">
        <v>1305</v>
      </c>
      <c r="I26" t="s">
        <v>64</v>
      </c>
      <c r="J26" t="s">
        <v>332</v>
      </c>
      <c r="L26" t="s">
        <v>1306</v>
      </c>
      <c r="O26" t="s">
        <v>530</v>
      </c>
      <c r="P26" t="s">
        <v>1307</v>
      </c>
      <c r="R26" t="s">
        <v>1308</v>
      </c>
      <c r="S26">
        <v>15393</v>
      </c>
      <c r="T26" t="s">
        <v>670</v>
      </c>
      <c r="U26" t="s">
        <v>70</v>
      </c>
      <c r="V26" s="23">
        <v>44370</v>
      </c>
      <c r="W26" s="23">
        <v>44462</v>
      </c>
      <c r="X26" t="s">
        <v>1309</v>
      </c>
      <c r="Y26" s="23">
        <v>43339</v>
      </c>
      <c r="Z26" s="23">
        <v>44462</v>
      </c>
      <c r="AA26" s="23">
        <v>43377</v>
      </c>
      <c r="AB26" s="21">
        <v>37</v>
      </c>
      <c r="AC26">
        <v>28050</v>
      </c>
      <c r="AD26" t="s">
        <v>71</v>
      </c>
      <c r="AE26" t="s">
        <v>71</v>
      </c>
      <c r="AF26" s="24" t="s">
        <v>1520</v>
      </c>
    </row>
    <row r="27" spans="1:33" ht="28.5" x14ac:dyDescent="0.45">
      <c r="A27">
        <v>20005252</v>
      </c>
      <c r="B27" t="s">
        <v>1310</v>
      </c>
      <c r="C27" t="s">
        <v>211</v>
      </c>
      <c r="D27" t="s">
        <v>1311</v>
      </c>
      <c r="E27" t="s">
        <v>320</v>
      </c>
      <c r="F27" t="s">
        <v>589</v>
      </c>
      <c r="G27" t="s">
        <v>1312</v>
      </c>
      <c r="H27" t="s">
        <v>1313</v>
      </c>
      <c r="I27" t="s">
        <v>64</v>
      </c>
      <c r="J27" t="s">
        <v>320</v>
      </c>
      <c r="L27" t="s">
        <v>1314</v>
      </c>
      <c r="O27" t="s">
        <v>850</v>
      </c>
      <c r="P27" t="s">
        <v>1315</v>
      </c>
      <c r="S27">
        <v>15409</v>
      </c>
      <c r="T27" t="s">
        <v>794</v>
      </c>
      <c r="U27" t="s">
        <v>70</v>
      </c>
      <c r="V27" s="23">
        <v>43630</v>
      </c>
      <c r="X27" t="s">
        <v>1316</v>
      </c>
      <c r="Y27" s="23">
        <v>43182</v>
      </c>
      <c r="Z27" s="23">
        <v>43722</v>
      </c>
      <c r="AA27" s="23">
        <v>43403</v>
      </c>
      <c r="AB27" s="21">
        <v>37</v>
      </c>
      <c r="AC27">
        <v>81133</v>
      </c>
      <c r="AD27" t="s">
        <v>71</v>
      </c>
      <c r="AE27" t="s">
        <v>71</v>
      </c>
      <c r="AF27" s="24" t="s">
        <v>1526</v>
      </c>
      <c r="AG27" s="35">
        <v>43466</v>
      </c>
    </row>
    <row r="28" spans="1:33" ht="28.5" x14ac:dyDescent="0.45">
      <c r="A28">
        <v>20005372</v>
      </c>
      <c r="B28" t="s">
        <v>1317</v>
      </c>
      <c r="C28" t="s">
        <v>484</v>
      </c>
      <c r="D28" t="s">
        <v>1318</v>
      </c>
      <c r="E28" t="s">
        <v>1</v>
      </c>
      <c r="F28" t="s">
        <v>102</v>
      </c>
      <c r="G28" t="s">
        <v>186</v>
      </c>
      <c r="H28" t="s">
        <v>1319</v>
      </c>
      <c r="I28" t="s">
        <v>64</v>
      </c>
      <c r="J28" t="s">
        <v>180</v>
      </c>
      <c r="L28" t="s">
        <v>1320</v>
      </c>
      <c r="M28" t="s">
        <v>1321</v>
      </c>
      <c r="O28" t="s">
        <v>792</v>
      </c>
      <c r="P28" t="s">
        <v>1322</v>
      </c>
      <c r="R28" t="s">
        <v>1323</v>
      </c>
      <c r="S28">
        <v>15393</v>
      </c>
      <c r="T28" t="s">
        <v>670</v>
      </c>
      <c r="U28" t="s">
        <v>70</v>
      </c>
      <c r="V28" s="23">
        <v>44515</v>
      </c>
      <c r="W28" s="23">
        <v>44607</v>
      </c>
      <c r="X28" t="s">
        <v>1324</v>
      </c>
      <c r="Y28" s="23">
        <v>43482</v>
      </c>
      <c r="Z28" s="23">
        <v>44607</v>
      </c>
      <c r="AA28" s="23">
        <v>43416</v>
      </c>
      <c r="AB28" s="21">
        <v>37</v>
      </c>
      <c r="AC28">
        <v>28980</v>
      </c>
      <c r="AD28" t="s">
        <v>71</v>
      </c>
      <c r="AE28" t="s">
        <v>71</v>
      </c>
      <c r="AF28" s="24" t="s">
        <v>1520</v>
      </c>
    </row>
    <row r="29" spans="1:33" ht="28.5" x14ac:dyDescent="0.45">
      <c r="A29">
        <v>20005658</v>
      </c>
      <c r="B29" t="s">
        <v>1325</v>
      </c>
      <c r="C29" t="s">
        <v>399</v>
      </c>
      <c r="D29" t="s">
        <v>1326</v>
      </c>
      <c r="E29" t="s">
        <v>1</v>
      </c>
      <c r="F29" t="s">
        <v>604</v>
      </c>
      <c r="G29" t="s">
        <v>1327</v>
      </c>
      <c r="H29" t="s">
        <v>1328</v>
      </c>
      <c r="I29" t="s">
        <v>64</v>
      </c>
      <c r="J29" t="s">
        <v>65</v>
      </c>
      <c r="L29" t="s">
        <v>1329</v>
      </c>
      <c r="M29" t="s">
        <v>1330</v>
      </c>
      <c r="O29" t="s">
        <v>80</v>
      </c>
      <c r="P29" t="s">
        <v>1331</v>
      </c>
      <c r="S29">
        <v>15402</v>
      </c>
      <c r="T29" t="s">
        <v>1332</v>
      </c>
      <c r="U29" t="s">
        <v>70</v>
      </c>
      <c r="V29" s="23">
        <v>43934</v>
      </c>
      <c r="X29" t="s">
        <v>1333</v>
      </c>
      <c r="Y29" s="23">
        <v>43280</v>
      </c>
      <c r="Z29" s="23">
        <v>44025</v>
      </c>
      <c r="AA29" s="23">
        <v>43444</v>
      </c>
      <c r="AB29" s="21">
        <v>37</v>
      </c>
      <c r="AC29">
        <v>45923</v>
      </c>
      <c r="AD29" t="s">
        <v>71</v>
      </c>
      <c r="AE29" t="s">
        <v>71</v>
      </c>
      <c r="AF29" s="24" t="s">
        <v>1520</v>
      </c>
    </row>
    <row r="30" spans="1:33" ht="28.5" x14ac:dyDescent="0.45">
      <c r="A30">
        <v>20005662</v>
      </c>
      <c r="B30" t="s">
        <v>1334</v>
      </c>
      <c r="C30" t="s">
        <v>211</v>
      </c>
      <c r="D30" t="s">
        <v>1335</v>
      </c>
      <c r="E30" t="s">
        <v>0</v>
      </c>
      <c r="F30" t="s">
        <v>456</v>
      </c>
      <c r="G30" t="s">
        <v>457</v>
      </c>
      <c r="H30" t="s">
        <v>1336</v>
      </c>
      <c r="I30" t="s">
        <v>64</v>
      </c>
      <c r="J30" t="s">
        <v>332</v>
      </c>
      <c r="L30" t="s">
        <v>1337</v>
      </c>
      <c r="M30" t="s">
        <v>1338</v>
      </c>
      <c r="O30" t="s">
        <v>1339</v>
      </c>
      <c r="P30" t="s">
        <v>1340</v>
      </c>
      <c r="S30">
        <v>15407</v>
      </c>
      <c r="T30" t="s">
        <v>474</v>
      </c>
      <c r="U30" t="s">
        <v>70</v>
      </c>
      <c r="V30" s="23">
        <v>44568</v>
      </c>
      <c r="X30" t="s">
        <v>1341</v>
      </c>
      <c r="Y30" s="23">
        <v>43718</v>
      </c>
      <c r="Z30" s="23">
        <v>44658</v>
      </c>
      <c r="AA30" s="23">
        <v>43747</v>
      </c>
      <c r="AB30" s="21">
        <v>37</v>
      </c>
      <c r="AC30">
        <v>64553</v>
      </c>
      <c r="AD30" t="s">
        <v>71</v>
      </c>
      <c r="AE30" t="s">
        <v>71</v>
      </c>
      <c r="AF30" s="24" t="s">
        <v>1520</v>
      </c>
    </row>
    <row r="31" spans="1:33" ht="28.5" x14ac:dyDescent="0.45">
      <c r="A31">
        <v>20006484</v>
      </c>
      <c r="B31" t="s">
        <v>1354</v>
      </c>
      <c r="C31" t="s">
        <v>399</v>
      </c>
      <c r="D31" t="s">
        <v>1355</v>
      </c>
      <c r="E31" t="s">
        <v>0</v>
      </c>
      <c r="F31" t="s">
        <v>415</v>
      </c>
      <c r="G31" t="s">
        <v>534</v>
      </c>
      <c r="H31" t="s">
        <v>1356</v>
      </c>
      <c r="I31" t="s">
        <v>1357</v>
      </c>
      <c r="J31" t="s">
        <v>536</v>
      </c>
      <c r="L31" t="s">
        <v>1358</v>
      </c>
      <c r="O31" t="s">
        <v>1359</v>
      </c>
      <c r="P31" t="s">
        <v>1360</v>
      </c>
      <c r="S31">
        <v>15411</v>
      </c>
      <c r="T31" t="s">
        <v>739</v>
      </c>
      <c r="U31" t="s">
        <v>70</v>
      </c>
      <c r="V31" s="23">
        <v>45098</v>
      </c>
      <c r="X31" t="s">
        <v>1361</v>
      </c>
      <c r="Y31" s="23">
        <v>43364</v>
      </c>
      <c r="Z31" s="23">
        <v>45190</v>
      </c>
      <c r="AA31" s="23">
        <v>43728</v>
      </c>
      <c r="AB31" s="21">
        <v>37</v>
      </c>
      <c r="AC31">
        <v>30962</v>
      </c>
      <c r="AD31" t="s">
        <v>71</v>
      </c>
      <c r="AE31" t="s">
        <v>71</v>
      </c>
      <c r="AF31" s="24" t="s">
        <v>1520</v>
      </c>
    </row>
    <row r="32" spans="1:33" ht="28.5" x14ac:dyDescent="0.45">
      <c r="A32">
        <v>20007308</v>
      </c>
      <c r="B32" t="s">
        <v>1371</v>
      </c>
      <c r="C32" t="s">
        <v>176</v>
      </c>
      <c r="D32" t="s">
        <v>886</v>
      </c>
      <c r="E32" t="s">
        <v>433</v>
      </c>
      <c r="F32" t="s">
        <v>735</v>
      </c>
      <c r="G32" t="s">
        <v>356</v>
      </c>
      <c r="H32" t="s">
        <v>1372</v>
      </c>
      <c r="I32" t="s">
        <v>64</v>
      </c>
      <c r="J32" t="s">
        <v>888</v>
      </c>
      <c r="L32" t="s">
        <v>1373</v>
      </c>
      <c r="O32" t="s">
        <v>539</v>
      </c>
      <c r="P32" t="s">
        <v>1374</v>
      </c>
      <c r="R32" t="s">
        <v>1375</v>
      </c>
      <c r="S32">
        <v>15393</v>
      </c>
      <c r="T32" t="s">
        <v>670</v>
      </c>
      <c r="U32" t="s">
        <v>70</v>
      </c>
      <c r="V32" s="23">
        <v>44293</v>
      </c>
      <c r="W32" s="23">
        <v>44385</v>
      </c>
      <c r="X32" t="s">
        <v>1376</v>
      </c>
      <c r="Y32" s="23">
        <v>43623</v>
      </c>
      <c r="Z32" s="23">
        <v>44385</v>
      </c>
      <c r="AA32" s="23">
        <v>43637</v>
      </c>
      <c r="AB32" s="21">
        <v>37</v>
      </c>
      <c r="AC32">
        <v>44000</v>
      </c>
      <c r="AD32" t="s">
        <v>71</v>
      </c>
      <c r="AE32" t="s">
        <v>71</v>
      </c>
      <c r="AF32" s="24" t="s">
        <v>1520</v>
      </c>
    </row>
    <row r="33" spans="1:33" ht="28.5" x14ac:dyDescent="0.45">
      <c r="A33">
        <v>20007908</v>
      </c>
      <c r="B33" t="s">
        <v>1391</v>
      </c>
      <c r="C33" t="s">
        <v>507</v>
      </c>
      <c r="D33" t="s">
        <v>1392</v>
      </c>
      <c r="E33" t="s">
        <v>320</v>
      </c>
      <c r="F33" t="s">
        <v>844</v>
      </c>
      <c r="G33" t="s">
        <v>1393</v>
      </c>
      <c r="H33" t="s">
        <v>1394</v>
      </c>
      <c r="I33" t="s">
        <v>64</v>
      </c>
      <c r="J33" t="s">
        <v>320</v>
      </c>
      <c r="L33" t="s">
        <v>1395</v>
      </c>
      <c r="M33" t="s">
        <v>1065</v>
      </c>
      <c r="O33" t="s">
        <v>530</v>
      </c>
      <c r="P33" t="s">
        <v>1396</v>
      </c>
      <c r="S33">
        <v>15409</v>
      </c>
      <c r="T33" t="s">
        <v>794</v>
      </c>
      <c r="U33" t="s">
        <v>70</v>
      </c>
      <c r="V33" s="23">
        <v>44225</v>
      </c>
      <c r="X33" t="s">
        <v>1397</v>
      </c>
      <c r="Y33" s="23">
        <v>39557</v>
      </c>
      <c r="Z33" s="23">
        <v>44315</v>
      </c>
      <c r="AA33" s="23">
        <v>43728</v>
      </c>
      <c r="AB33" s="21">
        <v>37</v>
      </c>
      <c r="AC33">
        <v>45000</v>
      </c>
      <c r="AD33" t="s">
        <v>71</v>
      </c>
      <c r="AE33" t="s">
        <v>71</v>
      </c>
      <c r="AF33" s="24" t="s">
        <v>1520</v>
      </c>
    </row>
    <row r="34" spans="1:33" ht="28.5" x14ac:dyDescent="0.45">
      <c r="A34">
        <v>20008271</v>
      </c>
      <c r="B34" t="s">
        <v>1398</v>
      </c>
      <c r="C34" t="s">
        <v>554</v>
      </c>
      <c r="D34" t="s">
        <v>1399</v>
      </c>
      <c r="E34" t="s">
        <v>294</v>
      </c>
      <c r="F34" t="s">
        <v>295</v>
      </c>
      <c r="G34" t="s">
        <v>1400</v>
      </c>
      <c r="H34" t="s">
        <v>1401</v>
      </c>
      <c r="I34" t="s">
        <v>64</v>
      </c>
      <c r="J34" t="s">
        <v>65</v>
      </c>
      <c r="L34" t="s">
        <v>1402</v>
      </c>
      <c r="O34" t="s">
        <v>80</v>
      </c>
      <c r="P34" t="s">
        <v>1403</v>
      </c>
      <c r="S34">
        <v>15399</v>
      </c>
      <c r="T34" t="s">
        <v>1404</v>
      </c>
      <c r="U34" t="s">
        <v>70</v>
      </c>
      <c r="V34" s="23">
        <v>44411</v>
      </c>
      <c r="X34" t="s">
        <v>1405</v>
      </c>
      <c r="Y34" s="23">
        <v>43346</v>
      </c>
      <c r="Z34" s="23">
        <v>44503</v>
      </c>
      <c r="AA34" s="23">
        <v>43734</v>
      </c>
      <c r="AB34" s="21">
        <v>37</v>
      </c>
      <c r="AC34">
        <v>17500</v>
      </c>
      <c r="AD34" t="s">
        <v>71</v>
      </c>
      <c r="AE34" t="s">
        <v>71</v>
      </c>
      <c r="AF34" s="24" t="s">
        <v>1520</v>
      </c>
    </row>
    <row r="35" spans="1:33" ht="28.5" x14ac:dyDescent="0.45">
      <c r="A35">
        <v>20008292</v>
      </c>
      <c r="B35" t="s">
        <v>1406</v>
      </c>
      <c r="C35" t="s">
        <v>192</v>
      </c>
      <c r="D35" t="s">
        <v>1407</v>
      </c>
      <c r="E35" t="s">
        <v>294</v>
      </c>
      <c r="F35" t="s">
        <v>295</v>
      </c>
      <c r="G35" t="s">
        <v>1408</v>
      </c>
      <c r="H35" t="s">
        <v>1409</v>
      </c>
      <c r="I35" t="s">
        <v>64</v>
      </c>
      <c r="J35" t="s">
        <v>65</v>
      </c>
      <c r="L35" t="s">
        <v>1410</v>
      </c>
      <c r="O35" t="s">
        <v>710</v>
      </c>
      <c r="P35" t="s">
        <v>1411</v>
      </c>
      <c r="S35">
        <v>15399</v>
      </c>
      <c r="T35" t="s">
        <v>1404</v>
      </c>
      <c r="U35" t="s">
        <v>70</v>
      </c>
      <c r="V35" s="23">
        <v>44409</v>
      </c>
      <c r="X35" t="s">
        <v>1412</v>
      </c>
      <c r="Y35" s="23">
        <v>43337</v>
      </c>
      <c r="Z35" s="23">
        <v>44499</v>
      </c>
      <c r="AA35" s="23">
        <v>43734</v>
      </c>
      <c r="AB35" s="21">
        <v>37</v>
      </c>
      <c r="AC35">
        <v>16500</v>
      </c>
      <c r="AD35" t="s">
        <v>71</v>
      </c>
      <c r="AE35" t="s">
        <v>71</v>
      </c>
      <c r="AF35" s="24" t="s">
        <v>1520</v>
      </c>
    </row>
    <row r="36" spans="1:33" ht="28.5" x14ac:dyDescent="0.45">
      <c r="A36">
        <v>20008439</v>
      </c>
      <c r="B36" t="s">
        <v>1413</v>
      </c>
      <c r="C36" t="s">
        <v>399</v>
      </c>
      <c r="D36" t="s">
        <v>1414</v>
      </c>
      <c r="E36" t="s">
        <v>294</v>
      </c>
      <c r="F36" t="s">
        <v>833</v>
      </c>
      <c r="G36" t="s">
        <v>1415</v>
      </c>
      <c r="H36" t="s">
        <v>1416</v>
      </c>
      <c r="I36" t="s">
        <v>64</v>
      </c>
      <c r="J36" t="s">
        <v>65</v>
      </c>
      <c r="L36">
        <v>8</v>
      </c>
      <c r="M36" t="s">
        <v>1417</v>
      </c>
      <c r="O36" t="s">
        <v>80</v>
      </c>
      <c r="P36" t="s">
        <v>1418</v>
      </c>
      <c r="S36">
        <v>15406</v>
      </c>
      <c r="T36" t="s">
        <v>1419</v>
      </c>
      <c r="U36" t="s">
        <v>70</v>
      </c>
      <c r="V36" s="23">
        <v>45677</v>
      </c>
      <c r="Y36" s="23">
        <v>42115</v>
      </c>
      <c r="Z36" s="23">
        <v>45767</v>
      </c>
      <c r="AA36" s="23">
        <v>43728</v>
      </c>
      <c r="AB36" s="21">
        <v>37</v>
      </c>
      <c r="AC36">
        <v>40000</v>
      </c>
      <c r="AD36" t="s">
        <v>71</v>
      </c>
      <c r="AE36" t="s">
        <v>71</v>
      </c>
      <c r="AF36" s="24" t="s">
        <v>1520</v>
      </c>
    </row>
    <row r="37" spans="1:33" ht="28.5" x14ac:dyDescent="0.45">
      <c r="A37">
        <v>20008668</v>
      </c>
      <c r="B37" t="s">
        <v>1420</v>
      </c>
      <c r="C37" t="s">
        <v>1421</v>
      </c>
      <c r="D37" t="s">
        <v>1422</v>
      </c>
      <c r="E37" t="s">
        <v>320</v>
      </c>
      <c r="F37" t="s">
        <v>363</v>
      </c>
      <c r="G37" t="s">
        <v>364</v>
      </c>
      <c r="H37" t="s">
        <v>1423</v>
      </c>
      <c r="I37" t="s">
        <v>64</v>
      </c>
      <c r="J37" t="s">
        <v>359</v>
      </c>
      <c r="L37" t="s">
        <v>1424</v>
      </c>
      <c r="M37" t="s">
        <v>1425</v>
      </c>
      <c r="O37" t="s">
        <v>850</v>
      </c>
      <c r="P37" t="s">
        <v>1426</v>
      </c>
      <c r="S37">
        <v>15399</v>
      </c>
      <c r="T37" t="s">
        <v>1404</v>
      </c>
      <c r="U37" t="s">
        <v>70</v>
      </c>
      <c r="V37" s="23">
        <v>44411</v>
      </c>
      <c r="X37" t="s">
        <v>1427</v>
      </c>
      <c r="Y37" s="23">
        <v>42677</v>
      </c>
      <c r="Z37" s="23">
        <v>44503</v>
      </c>
      <c r="AA37" s="23">
        <v>43734</v>
      </c>
      <c r="AB37" s="21">
        <v>37</v>
      </c>
      <c r="AC37">
        <v>16500</v>
      </c>
      <c r="AD37" t="s">
        <v>71</v>
      </c>
      <c r="AE37" t="s">
        <v>71</v>
      </c>
      <c r="AF37" s="24" t="s">
        <v>1520</v>
      </c>
    </row>
    <row r="38" spans="1:33" ht="28.5" x14ac:dyDescent="0.45">
      <c r="A38">
        <v>20008928</v>
      </c>
      <c r="B38" t="s">
        <v>1434</v>
      </c>
      <c r="C38" t="s">
        <v>153</v>
      </c>
      <c r="D38" t="s">
        <v>1435</v>
      </c>
      <c r="E38" t="s">
        <v>0</v>
      </c>
      <c r="F38" t="s">
        <v>415</v>
      </c>
      <c r="G38" t="s">
        <v>499</v>
      </c>
      <c r="H38" t="s">
        <v>1436</v>
      </c>
      <c r="I38" t="s">
        <v>64</v>
      </c>
      <c r="J38" t="s">
        <v>359</v>
      </c>
      <c r="L38" t="s">
        <v>1437</v>
      </c>
      <c r="M38" t="s">
        <v>202</v>
      </c>
      <c r="O38" t="s">
        <v>202</v>
      </c>
      <c r="P38" t="s">
        <v>1438</v>
      </c>
      <c r="R38" t="s">
        <v>1439</v>
      </c>
      <c r="S38">
        <v>15393</v>
      </c>
      <c r="T38" t="s">
        <v>670</v>
      </c>
      <c r="U38" t="s">
        <v>70</v>
      </c>
      <c r="V38" s="23">
        <v>44734</v>
      </c>
      <c r="W38" s="23">
        <v>44826</v>
      </c>
      <c r="X38" t="s">
        <v>1440</v>
      </c>
      <c r="Y38" s="23">
        <v>43788</v>
      </c>
      <c r="Z38" s="23">
        <v>44826</v>
      </c>
      <c r="AA38" s="23">
        <v>43790</v>
      </c>
      <c r="AB38" s="21">
        <v>37</v>
      </c>
      <c r="AC38">
        <v>27600</v>
      </c>
      <c r="AD38" t="s">
        <v>71</v>
      </c>
      <c r="AE38" t="s">
        <v>71</v>
      </c>
      <c r="AF38" s="24" t="s">
        <v>1527</v>
      </c>
      <c r="AG38" s="35">
        <v>43466</v>
      </c>
    </row>
    <row r="39" spans="1:33" ht="71.25" x14ac:dyDescent="0.45">
      <c r="A39">
        <v>20008928</v>
      </c>
      <c r="B39" t="s">
        <v>1434</v>
      </c>
      <c r="C39" t="s">
        <v>153</v>
      </c>
      <c r="D39" t="s">
        <v>1435</v>
      </c>
      <c r="E39" t="s">
        <v>0</v>
      </c>
      <c r="F39" t="s">
        <v>415</v>
      </c>
      <c r="G39" t="s">
        <v>499</v>
      </c>
      <c r="H39" t="s">
        <v>1436</v>
      </c>
      <c r="I39" t="s">
        <v>64</v>
      </c>
      <c r="J39" t="s">
        <v>359</v>
      </c>
      <c r="L39" t="s">
        <v>1437</v>
      </c>
      <c r="M39" t="s">
        <v>202</v>
      </c>
      <c r="O39" t="s">
        <v>202</v>
      </c>
      <c r="P39" t="s">
        <v>1438</v>
      </c>
      <c r="S39">
        <v>15399</v>
      </c>
      <c r="T39" t="s">
        <v>1404</v>
      </c>
      <c r="U39" t="s">
        <v>70</v>
      </c>
      <c r="V39" s="23">
        <v>43720</v>
      </c>
      <c r="X39" t="s">
        <v>1441</v>
      </c>
      <c r="Y39" s="23">
        <v>43333</v>
      </c>
      <c r="Z39" s="23">
        <v>43787</v>
      </c>
      <c r="AA39" s="23">
        <v>43720</v>
      </c>
      <c r="AB39" s="21">
        <v>37</v>
      </c>
      <c r="AC39">
        <v>27600</v>
      </c>
      <c r="AD39" t="s">
        <v>71</v>
      </c>
      <c r="AE39" t="s">
        <v>71</v>
      </c>
      <c r="AF39" s="24" t="s">
        <v>1528</v>
      </c>
      <c r="AG39" s="35">
        <v>43466</v>
      </c>
    </row>
    <row r="40" spans="1:33" ht="28.5" x14ac:dyDescent="0.45">
      <c r="A40">
        <v>20009048</v>
      </c>
      <c r="B40" t="s">
        <v>1442</v>
      </c>
      <c r="C40" t="s">
        <v>1152</v>
      </c>
      <c r="D40" t="s">
        <v>1443</v>
      </c>
      <c r="E40" t="s">
        <v>1</v>
      </c>
      <c r="F40" t="s">
        <v>620</v>
      </c>
      <c r="G40" t="s">
        <v>621</v>
      </c>
      <c r="H40" t="s">
        <v>1444</v>
      </c>
      <c r="I40" t="s">
        <v>64</v>
      </c>
      <c r="J40" t="s">
        <v>65</v>
      </c>
      <c r="L40" t="s">
        <v>1445</v>
      </c>
      <c r="M40" t="s">
        <v>1446</v>
      </c>
      <c r="O40" t="s">
        <v>80</v>
      </c>
      <c r="P40" t="s">
        <v>1447</v>
      </c>
      <c r="R40" t="s">
        <v>1448</v>
      </c>
      <c r="S40">
        <v>15393</v>
      </c>
      <c r="T40" t="s">
        <v>670</v>
      </c>
      <c r="U40" t="s">
        <v>70</v>
      </c>
      <c r="V40" s="23">
        <v>44734</v>
      </c>
      <c r="W40" s="23">
        <v>44826</v>
      </c>
      <c r="X40" t="s">
        <v>1449</v>
      </c>
      <c r="Y40" s="23">
        <v>43719</v>
      </c>
      <c r="Z40" s="23">
        <v>44826</v>
      </c>
      <c r="AA40" s="23">
        <v>43727</v>
      </c>
      <c r="AB40" s="21">
        <v>37</v>
      </c>
      <c r="AC40">
        <v>29300</v>
      </c>
      <c r="AD40" t="s">
        <v>71</v>
      </c>
      <c r="AE40" t="s">
        <v>71</v>
      </c>
      <c r="AF40" s="24" t="s">
        <v>1520</v>
      </c>
    </row>
    <row r="41" spans="1:33" ht="28.5" x14ac:dyDescent="0.45">
      <c r="A41">
        <v>20009051</v>
      </c>
      <c r="B41" t="s">
        <v>1451</v>
      </c>
      <c r="C41" t="s">
        <v>554</v>
      </c>
      <c r="D41" t="s">
        <v>1452</v>
      </c>
      <c r="E41" t="s">
        <v>1</v>
      </c>
      <c r="F41" t="s">
        <v>509</v>
      </c>
      <c r="G41" t="s">
        <v>1453</v>
      </c>
      <c r="H41" t="s">
        <v>1454</v>
      </c>
      <c r="I41" t="s">
        <v>64</v>
      </c>
      <c r="J41" t="s">
        <v>105</v>
      </c>
      <c r="L41" t="s">
        <v>1455</v>
      </c>
      <c r="O41" t="s">
        <v>1456</v>
      </c>
      <c r="P41" t="s">
        <v>1457</v>
      </c>
      <c r="S41">
        <v>15399</v>
      </c>
      <c r="T41" t="s">
        <v>1404</v>
      </c>
      <c r="U41" t="s">
        <v>70</v>
      </c>
      <c r="V41" s="23">
        <v>44388</v>
      </c>
      <c r="X41" t="s">
        <v>1458</v>
      </c>
      <c r="Y41" s="23">
        <v>43404</v>
      </c>
      <c r="Z41" s="23">
        <v>44480</v>
      </c>
      <c r="AA41" s="23">
        <v>43734</v>
      </c>
      <c r="AB41" s="21">
        <v>37</v>
      </c>
      <c r="AC41">
        <v>16500</v>
      </c>
      <c r="AD41" t="s">
        <v>71</v>
      </c>
      <c r="AE41" t="s">
        <v>71</v>
      </c>
      <c r="AF41" s="24" t="s">
        <v>1520</v>
      </c>
    </row>
    <row r="42" spans="1:33" ht="28.5" x14ac:dyDescent="0.45">
      <c r="A42">
        <v>20009069</v>
      </c>
      <c r="B42" t="s">
        <v>1459</v>
      </c>
      <c r="C42" t="s">
        <v>554</v>
      </c>
      <c r="D42" t="s">
        <v>1460</v>
      </c>
      <c r="E42" t="s">
        <v>433</v>
      </c>
      <c r="F42" t="s">
        <v>798</v>
      </c>
      <c r="G42" t="s">
        <v>1461</v>
      </c>
      <c r="H42" t="s">
        <v>1272</v>
      </c>
      <c r="I42" t="s">
        <v>64</v>
      </c>
      <c r="J42" t="s">
        <v>1462</v>
      </c>
      <c r="L42" t="s">
        <v>1463</v>
      </c>
      <c r="O42" t="s">
        <v>539</v>
      </c>
      <c r="P42" t="s">
        <v>1464</v>
      </c>
      <c r="R42" t="s">
        <v>1465</v>
      </c>
      <c r="S42">
        <v>15393</v>
      </c>
      <c r="T42" t="s">
        <v>670</v>
      </c>
      <c r="U42" t="s">
        <v>70</v>
      </c>
      <c r="V42" s="23">
        <v>44734</v>
      </c>
      <c r="W42" s="23">
        <v>44826</v>
      </c>
      <c r="X42" t="s">
        <v>1466</v>
      </c>
      <c r="Y42" s="23">
        <v>43706</v>
      </c>
      <c r="Z42" s="23">
        <v>44826</v>
      </c>
      <c r="AA42" s="23">
        <v>43727</v>
      </c>
      <c r="AB42" s="21">
        <v>37</v>
      </c>
      <c r="AC42">
        <v>27500</v>
      </c>
      <c r="AD42" t="s">
        <v>71</v>
      </c>
      <c r="AE42" t="s">
        <v>71</v>
      </c>
      <c r="AF42" s="24" t="s">
        <v>1520</v>
      </c>
    </row>
    <row r="43" spans="1:33" ht="28.5" x14ac:dyDescent="0.45">
      <c r="A43">
        <v>20009086</v>
      </c>
      <c r="B43" t="s">
        <v>1468</v>
      </c>
      <c r="C43" t="s">
        <v>145</v>
      </c>
      <c r="D43" t="s">
        <v>1469</v>
      </c>
      <c r="E43" t="s">
        <v>1</v>
      </c>
      <c r="F43" t="s">
        <v>102</v>
      </c>
      <c r="G43" t="s">
        <v>235</v>
      </c>
      <c r="H43" t="s">
        <v>1272</v>
      </c>
      <c r="I43" t="s">
        <v>64</v>
      </c>
      <c r="J43" t="s">
        <v>156</v>
      </c>
      <c r="L43" t="s">
        <v>1470</v>
      </c>
      <c r="M43" t="s">
        <v>1471</v>
      </c>
      <c r="O43" t="s">
        <v>159</v>
      </c>
      <c r="P43" t="s">
        <v>1472</v>
      </c>
      <c r="R43" t="s">
        <v>1473</v>
      </c>
      <c r="S43">
        <v>15393</v>
      </c>
      <c r="T43" t="s">
        <v>670</v>
      </c>
      <c r="U43" t="s">
        <v>70</v>
      </c>
      <c r="V43" s="23">
        <v>44734</v>
      </c>
      <c r="W43" s="23">
        <v>44826</v>
      </c>
      <c r="X43" t="s">
        <v>1474</v>
      </c>
      <c r="Y43" s="23">
        <v>43712</v>
      </c>
      <c r="Z43" s="23">
        <v>44826</v>
      </c>
      <c r="AA43" s="23">
        <v>43727</v>
      </c>
      <c r="AB43" s="21">
        <v>37</v>
      </c>
      <c r="AC43">
        <v>27500</v>
      </c>
      <c r="AD43" t="s">
        <v>71</v>
      </c>
      <c r="AE43" t="s">
        <v>71</v>
      </c>
      <c r="AF43" s="24" t="s">
        <v>1520</v>
      </c>
    </row>
    <row r="44" spans="1:33" ht="28.5" x14ac:dyDescent="0.45">
      <c r="A44">
        <v>20009120</v>
      </c>
      <c r="B44" t="s">
        <v>1475</v>
      </c>
      <c r="C44" t="s">
        <v>83</v>
      </c>
      <c r="D44" t="s">
        <v>1476</v>
      </c>
      <c r="E44" t="s">
        <v>320</v>
      </c>
      <c r="F44" t="s">
        <v>589</v>
      </c>
      <c r="G44" t="s">
        <v>590</v>
      </c>
      <c r="H44" t="s">
        <v>1436</v>
      </c>
      <c r="I44" t="s">
        <v>64</v>
      </c>
      <c r="J44" t="s">
        <v>427</v>
      </c>
      <c r="L44" t="s">
        <v>1477</v>
      </c>
      <c r="O44" t="s">
        <v>757</v>
      </c>
      <c r="P44" t="s">
        <v>1478</v>
      </c>
      <c r="R44" t="s">
        <v>1479</v>
      </c>
      <c r="S44">
        <v>15393</v>
      </c>
      <c r="T44" t="s">
        <v>670</v>
      </c>
      <c r="U44" t="s">
        <v>70</v>
      </c>
      <c r="V44" s="23">
        <v>44734</v>
      </c>
      <c r="W44" s="23">
        <v>44826</v>
      </c>
      <c r="X44" t="s">
        <v>1480</v>
      </c>
      <c r="Y44" s="23">
        <v>43648</v>
      </c>
      <c r="Z44" s="23">
        <v>44826</v>
      </c>
      <c r="AA44" s="23">
        <v>43720</v>
      </c>
      <c r="AB44" s="21">
        <v>37</v>
      </c>
      <c r="AC44">
        <v>27600</v>
      </c>
      <c r="AD44" t="s">
        <v>71</v>
      </c>
      <c r="AE44" t="s">
        <v>71</v>
      </c>
      <c r="AF44" s="24" t="s">
        <v>1520</v>
      </c>
    </row>
    <row r="45" spans="1:33" ht="28.5" x14ac:dyDescent="0.45">
      <c r="A45">
        <v>20009121</v>
      </c>
      <c r="B45" t="s">
        <v>1481</v>
      </c>
      <c r="C45" t="s">
        <v>153</v>
      </c>
      <c r="D45" t="s">
        <v>1482</v>
      </c>
      <c r="E45" t="s">
        <v>0</v>
      </c>
      <c r="F45" t="s">
        <v>60</v>
      </c>
      <c r="G45" t="s">
        <v>571</v>
      </c>
      <c r="H45" t="s">
        <v>1483</v>
      </c>
      <c r="I45" t="s">
        <v>64</v>
      </c>
      <c r="J45" t="s">
        <v>320</v>
      </c>
      <c r="L45" t="s">
        <v>1484</v>
      </c>
      <c r="O45" t="s">
        <v>80</v>
      </c>
      <c r="P45" t="s">
        <v>1485</v>
      </c>
      <c r="R45" t="s">
        <v>1486</v>
      </c>
      <c r="S45">
        <v>15393</v>
      </c>
      <c r="T45" t="s">
        <v>670</v>
      </c>
      <c r="U45" t="s">
        <v>70</v>
      </c>
      <c r="V45" s="23">
        <v>44734</v>
      </c>
      <c r="W45" s="23">
        <v>44826</v>
      </c>
      <c r="X45" t="s">
        <v>1487</v>
      </c>
      <c r="Y45" s="23">
        <v>43748</v>
      </c>
      <c r="Z45" s="23">
        <v>44826</v>
      </c>
      <c r="AA45" s="23">
        <v>43753</v>
      </c>
      <c r="AB45" s="21">
        <v>37</v>
      </c>
      <c r="AC45">
        <v>27600</v>
      </c>
      <c r="AD45" t="s">
        <v>71</v>
      </c>
      <c r="AE45" t="s">
        <v>71</v>
      </c>
      <c r="AF45" s="24" t="s">
        <v>1520</v>
      </c>
    </row>
    <row r="46" spans="1:33" ht="28.5" x14ac:dyDescent="0.45">
      <c r="A46">
        <v>20009532</v>
      </c>
      <c r="B46" t="s">
        <v>1495</v>
      </c>
      <c r="C46" t="s">
        <v>192</v>
      </c>
      <c r="D46" t="s">
        <v>1452</v>
      </c>
      <c r="E46" t="s">
        <v>1</v>
      </c>
      <c r="F46" t="s">
        <v>509</v>
      </c>
      <c r="G46" t="s">
        <v>1453</v>
      </c>
      <c r="H46" t="s">
        <v>1454</v>
      </c>
      <c r="I46" t="s">
        <v>64</v>
      </c>
      <c r="J46" t="s">
        <v>105</v>
      </c>
      <c r="L46" t="s">
        <v>1496</v>
      </c>
      <c r="O46" t="s">
        <v>80</v>
      </c>
      <c r="P46" t="s">
        <v>1497</v>
      </c>
      <c r="S46">
        <v>15401</v>
      </c>
      <c r="T46" t="s">
        <v>1498</v>
      </c>
      <c r="U46" t="s">
        <v>70</v>
      </c>
      <c r="V46" s="23">
        <v>43957</v>
      </c>
      <c r="X46" t="s">
        <v>1499</v>
      </c>
      <c r="Y46" s="23">
        <v>43730</v>
      </c>
      <c r="Z46" s="23">
        <v>44049</v>
      </c>
      <c r="AA46" s="23">
        <v>43752</v>
      </c>
      <c r="AB46" s="21">
        <v>37</v>
      </c>
      <c r="AC46">
        <v>16500</v>
      </c>
      <c r="AD46" t="s">
        <v>71</v>
      </c>
      <c r="AE46" t="s">
        <v>71</v>
      </c>
      <c r="AF46" s="24" t="s">
        <v>1529</v>
      </c>
      <c r="AG46" s="35">
        <v>43466</v>
      </c>
    </row>
    <row r="47" spans="1:33" ht="71.25" x14ac:dyDescent="0.45">
      <c r="A47">
        <v>20009898</v>
      </c>
      <c r="B47" t="s">
        <v>1507</v>
      </c>
      <c r="C47" t="s">
        <v>211</v>
      </c>
      <c r="D47" t="s">
        <v>1508</v>
      </c>
      <c r="E47" t="s">
        <v>1</v>
      </c>
      <c r="F47" t="s">
        <v>74</v>
      </c>
      <c r="G47" t="s">
        <v>706</v>
      </c>
      <c r="H47" t="s">
        <v>1509</v>
      </c>
      <c r="I47" t="s">
        <v>64</v>
      </c>
      <c r="J47" t="s">
        <v>65</v>
      </c>
      <c r="L47" t="s">
        <v>1510</v>
      </c>
      <c r="M47" t="s">
        <v>1511</v>
      </c>
      <c r="O47" t="s">
        <v>80</v>
      </c>
      <c r="P47" t="s">
        <v>1512</v>
      </c>
      <c r="S47">
        <v>15399</v>
      </c>
      <c r="T47" t="s">
        <v>1404</v>
      </c>
      <c r="U47" t="s">
        <v>70</v>
      </c>
      <c r="V47" s="23">
        <v>43773</v>
      </c>
      <c r="X47" t="s">
        <v>1513</v>
      </c>
      <c r="Y47" s="23">
        <v>42927</v>
      </c>
      <c r="Z47" s="23">
        <v>43800</v>
      </c>
      <c r="AA47" s="23">
        <v>43774</v>
      </c>
      <c r="AB47" s="21">
        <v>37</v>
      </c>
      <c r="AC47">
        <v>61000</v>
      </c>
      <c r="AD47" t="s">
        <v>71</v>
      </c>
      <c r="AE47" t="s">
        <v>71</v>
      </c>
      <c r="AF47" s="24" t="s">
        <v>1530</v>
      </c>
      <c r="AG47" s="35">
        <v>43466</v>
      </c>
    </row>
    <row r="48" spans="1:33" x14ac:dyDescent="0.45">
      <c r="A48">
        <v>20009966</v>
      </c>
      <c r="B48" t="s">
        <v>1514</v>
      </c>
      <c r="C48" t="s">
        <v>83</v>
      </c>
      <c r="D48" t="s">
        <v>362</v>
      </c>
      <c r="E48" t="s">
        <v>320</v>
      </c>
      <c r="F48" t="s">
        <v>363</v>
      </c>
      <c r="G48" t="s">
        <v>364</v>
      </c>
      <c r="H48" t="s">
        <v>1515</v>
      </c>
      <c r="I48" t="s">
        <v>64</v>
      </c>
      <c r="J48" t="s">
        <v>359</v>
      </c>
      <c r="L48" t="s">
        <v>1516</v>
      </c>
      <c r="O48" t="s">
        <v>850</v>
      </c>
      <c r="P48" t="s">
        <v>1517</v>
      </c>
      <c r="R48" t="s">
        <v>1518</v>
      </c>
      <c r="S48">
        <v>15393</v>
      </c>
      <c r="T48" t="s">
        <v>670</v>
      </c>
      <c r="U48" t="s">
        <v>70</v>
      </c>
      <c r="V48" s="23">
        <v>44755</v>
      </c>
      <c r="W48" s="23">
        <v>44847</v>
      </c>
      <c r="X48" t="s">
        <v>1519</v>
      </c>
      <c r="Y48" s="23">
        <v>43742</v>
      </c>
      <c r="Z48" s="23">
        <v>44847</v>
      </c>
      <c r="AA48" s="23">
        <v>43783</v>
      </c>
      <c r="AB48" s="21">
        <v>37</v>
      </c>
      <c r="AC48">
        <v>55066</v>
      </c>
      <c r="AD48" t="s">
        <v>71</v>
      </c>
      <c r="AE48" t="s">
        <v>71</v>
      </c>
    </row>
    <row r="49" spans="1:32" x14ac:dyDescent="0.45">
      <c r="A49">
        <v>20009935</v>
      </c>
      <c r="B49" t="s">
        <v>1531</v>
      </c>
      <c r="C49" t="s">
        <v>192</v>
      </c>
      <c r="D49" t="s">
        <v>1452</v>
      </c>
      <c r="E49" t="s">
        <v>1</v>
      </c>
      <c r="F49" t="s">
        <v>509</v>
      </c>
      <c r="G49" t="s">
        <v>1453</v>
      </c>
      <c r="H49" t="s">
        <v>1532</v>
      </c>
      <c r="I49" t="s">
        <v>64</v>
      </c>
      <c r="J49" t="s">
        <v>65</v>
      </c>
      <c r="L49" t="s">
        <v>1533</v>
      </c>
      <c r="M49" t="s">
        <v>1534</v>
      </c>
      <c r="O49" t="s">
        <v>215</v>
      </c>
      <c r="P49" t="s">
        <v>1535</v>
      </c>
      <c r="S49">
        <v>15401</v>
      </c>
      <c r="T49" t="s">
        <v>1498</v>
      </c>
      <c r="U49" t="s">
        <v>70</v>
      </c>
      <c r="X49" t="s">
        <v>1536</v>
      </c>
      <c r="Y49" s="23">
        <v>43453</v>
      </c>
      <c r="Z49" s="23">
        <v>43672</v>
      </c>
      <c r="AA49" s="23">
        <v>43535</v>
      </c>
      <c r="AB49" s="21">
        <v>37</v>
      </c>
      <c r="AC49">
        <v>35000</v>
      </c>
      <c r="AF49" s="24" t="s">
        <v>1537</v>
      </c>
    </row>
  </sheetData>
  <autoFilter ref="A1:AF1" xr:uid="{00000000-0009-0000-0000-000002000000}"/>
  <printOptions gridLines="1"/>
  <pageMargins left="0.70866141732283472" right="0.70866141732283472" top="0.74803149606299213" bottom="0.74803149606299213" header="0.31496062992125984" footer="0.31496062992125984"/>
  <pageSetup paperSize="8" scale="7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F233"/>
  <sheetViews>
    <sheetView topLeftCell="X1" workbookViewId="0">
      <selection activeCell="AF9" sqref="AF9"/>
    </sheetView>
  </sheetViews>
  <sheetFormatPr defaultColWidth="11.3984375" defaultRowHeight="14.25" x14ac:dyDescent="0.45"/>
  <cols>
    <col min="1" max="1" width="18.1328125" bestFit="1" customWidth="1"/>
    <col min="2" max="2" width="37.265625" bestFit="1" customWidth="1"/>
    <col min="3" max="3" width="21.59765625" bestFit="1" customWidth="1"/>
    <col min="4" max="4" width="23.265625" bestFit="1" customWidth="1"/>
    <col min="5" max="5" width="23.1328125" bestFit="1" customWidth="1"/>
    <col min="6" max="6" width="26.86328125" bestFit="1" customWidth="1"/>
    <col min="7" max="7" width="36.1328125" bestFit="1" customWidth="1"/>
    <col min="8" max="8" width="36.265625" bestFit="1" customWidth="1"/>
    <col min="9" max="9" width="28" bestFit="1" customWidth="1"/>
    <col min="10" max="10" width="26.265625" bestFit="1" customWidth="1"/>
    <col min="11" max="11" width="26" bestFit="1" customWidth="1"/>
    <col min="12" max="12" width="23.1328125" bestFit="1" customWidth="1"/>
    <col min="13" max="13" width="19.265625" bestFit="1" customWidth="1"/>
    <col min="14" max="14" width="19" bestFit="1" customWidth="1"/>
    <col min="15" max="15" width="16.73046875" bestFit="1" customWidth="1"/>
    <col min="16" max="16" width="11" bestFit="1" customWidth="1"/>
    <col min="17" max="17" width="15.265625" bestFit="1" customWidth="1"/>
    <col min="18" max="18" width="20.59765625" bestFit="1" customWidth="1"/>
    <col min="19" max="19" width="10.3984375" bestFit="1" customWidth="1"/>
    <col min="20" max="20" width="43.1328125" bestFit="1" customWidth="1"/>
    <col min="21" max="21" width="22.86328125" bestFit="1" customWidth="1"/>
    <col min="22" max="22" width="23.265625" style="23" bestFit="1" customWidth="1"/>
    <col min="23" max="23" width="23.1328125" style="23" bestFit="1" customWidth="1"/>
    <col min="24" max="24" width="17" bestFit="1" customWidth="1"/>
    <col min="25" max="25" width="21.265625" style="23" bestFit="1" customWidth="1"/>
    <col min="26" max="26" width="19.73046875" style="23" bestFit="1" customWidth="1"/>
    <col min="27" max="27" width="13.59765625" style="23" bestFit="1" customWidth="1"/>
    <col min="28" max="28" width="25" style="21" bestFit="1" customWidth="1"/>
    <col min="29" max="29" width="9.59765625" bestFit="1" customWidth="1"/>
    <col min="30" max="30" width="17.73046875" bestFit="1" customWidth="1"/>
    <col min="31" max="31" width="12.86328125" bestFit="1" customWidth="1"/>
    <col min="32" max="32" width="21.86328125" customWidth="1"/>
  </cols>
  <sheetData>
    <row r="1" spans="1:32" x14ac:dyDescent="0.45">
      <c r="A1" s="19" t="s">
        <v>17</v>
      </c>
      <c r="B1" s="19" t="s">
        <v>18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19" t="s">
        <v>34</v>
      </c>
      <c r="S1" s="19" t="s">
        <v>45</v>
      </c>
      <c r="T1" s="19" t="s">
        <v>35</v>
      </c>
      <c r="U1" s="19" t="s">
        <v>36</v>
      </c>
      <c r="V1" s="22" t="s">
        <v>37</v>
      </c>
      <c r="W1" s="22" t="s">
        <v>38</v>
      </c>
      <c r="X1" s="19" t="s">
        <v>39</v>
      </c>
      <c r="Y1" s="22" t="s">
        <v>40</v>
      </c>
      <c r="Z1" s="22" t="s">
        <v>41</v>
      </c>
      <c r="AA1" s="22" t="s">
        <v>42</v>
      </c>
      <c r="AB1" s="20" t="s">
        <v>43</v>
      </c>
      <c r="AC1" s="19" t="s">
        <v>44</v>
      </c>
      <c r="AD1" s="19" t="s">
        <v>48</v>
      </c>
      <c r="AE1" s="19" t="s">
        <v>49</v>
      </c>
      <c r="AF1" s="25" t="s">
        <v>46</v>
      </c>
    </row>
    <row r="2" spans="1:32" x14ac:dyDescent="0.45">
      <c r="A2">
        <v>967493</v>
      </c>
      <c r="B2" t="s">
        <v>57</v>
      </c>
      <c r="C2" t="s">
        <v>58</v>
      </c>
      <c r="D2" t="s">
        <v>59</v>
      </c>
      <c r="E2" t="s">
        <v>60</v>
      </c>
      <c r="F2" t="s">
        <v>61</v>
      </c>
      <c r="G2" t="s">
        <v>62</v>
      </c>
      <c r="H2" t="s">
        <v>63</v>
      </c>
      <c r="I2" t="s">
        <v>64</v>
      </c>
      <c r="J2" t="s">
        <v>65</v>
      </c>
      <c r="L2" t="s">
        <v>66</v>
      </c>
      <c r="O2" t="s">
        <v>67</v>
      </c>
      <c r="P2" t="s">
        <v>68</v>
      </c>
      <c r="S2">
        <v>15385</v>
      </c>
      <c r="T2" t="s">
        <v>69</v>
      </c>
      <c r="U2" t="s">
        <v>70</v>
      </c>
      <c r="W2" s="23">
        <v>18629</v>
      </c>
      <c r="X2">
        <v>504027773</v>
      </c>
      <c r="Y2" s="23">
        <v>18629</v>
      </c>
      <c r="Z2" s="23">
        <v>2958465</v>
      </c>
      <c r="AA2" s="23">
        <v>42976</v>
      </c>
      <c r="AB2" s="21">
        <v>37</v>
      </c>
      <c r="AC2">
        <v>41209</v>
      </c>
      <c r="AD2" t="s">
        <v>71</v>
      </c>
      <c r="AE2" t="s">
        <v>71</v>
      </c>
    </row>
    <row r="3" spans="1:32" x14ac:dyDescent="0.45">
      <c r="A3">
        <v>967512</v>
      </c>
      <c r="B3" t="s">
        <v>72</v>
      </c>
      <c r="C3" t="s">
        <v>58</v>
      </c>
      <c r="D3" t="s">
        <v>73</v>
      </c>
      <c r="E3" t="s">
        <v>1</v>
      </c>
      <c r="F3" t="s">
        <v>74</v>
      </c>
      <c r="G3" t="s">
        <v>75</v>
      </c>
      <c r="H3" t="s">
        <v>76</v>
      </c>
      <c r="I3" t="s">
        <v>64</v>
      </c>
      <c r="J3" t="s">
        <v>77</v>
      </c>
      <c r="L3" t="s">
        <v>78</v>
      </c>
      <c r="M3" t="s">
        <v>79</v>
      </c>
      <c r="O3" t="s">
        <v>80</v>
      </c>
      <c r="P3" t="s">
        <v>81</v>
      </c>
      <c r="S3">
        <v>15385</v>
      </c>
      <c r="T3" t="s">
        <v>69</v>
      </c>
      <c r="U3" t="s">
        <v>70</v>
      </c>
      <c r="W3" s="23">
        <v>18629</v>
      </c>
      <c r="Y3" s="23">
        <v>40015</v>
      </c>
      <c r="Z3" s="23">
        <v>2958465</v>
      </c>
      <c r="AA3" s="23">
        <v>42976</v>
      </c>
      <c r="AB3" s="21">
        <v>37</v>
      </c>
      <c r="AC3">
        <v>29980</v>
      </c>
      <c r="AD3" t="s">
        <v>71</v>
      </c>
      <c r="AE3" t="s">
        <v>71</v>
      </c>
    </row>
    <row r="4" spans="1:32" x14ac:dyDescent="0.45">
      <c r="A4">
        <v>967513</v>
      </c>
      <c r="B4" t="s">
        <v>82</v>
      </c>
      <c r="C4" t="s">
        <v>83</v>
      </c>
      <c r="D4" t="s">
        <v>84</v>
      </c>
      <c r="E4" t="s">
        <v>1</v>
      </c>
      <c r="F4" t="s">
        <v>74</v>
      </c>
      <c r="G4" t="s">
        <v>75</v>
      </c>
      <c r="H4" t="s">
        <v>85</v>
      </c>
      <c r="I4" t="s">
        <v>64</v>
      </c>
      <c r="J4" t="s">
        <v>77</v>
      </c>
      <c r="L4" t="s">
        <v>86</v>
      </c>
      <c r="O4" t="s">
        <v>87</v>
      </c>
      <c r="P4" t="s">
        <v>88</v>
      </c>
      <c r="Q4">
        <v>1622435347</v>
      </c>
      <c r="S4">
        <v>15385</v>
      </c>
      <c r="T4" t="s">
        <v>69</v>
      </c>
      <c r="U4" t="s">
        <v>70</v>
      </c>
      <c r="W4" s="23">
        <v>18629</v>
      </c>
      <c r="Y4" s="23">
        <v>18629</v>
      </c>
      <c r="Z4" s="23">
        <v>2958465</v>
      </c>
      <c r="AA4" s="23">
        <v>42976</v>
      </c>
      <c r="AB4" s="21">
        <v>37</v>
      </c>
      <c r="AC4">
        <v>36791</v>
      </c>
      <c r="AD4" t="s">
        <v>71</v>
      </c>
      <c r="AE4" t="s">
        <v>71</v>
      </c>
    </row>
    <row r="5" spans="1:32" x14ac:dyDescent="0.45">
      <c r="A5">
        <v>968186</v>
      </c>
      <c r="B5" t="s">
        <v>89</v>
      </c>
      <c r="C5" t="s">
        <v>90</v>
      </c>
      <c r="D5" t="s">
        <v>91</v>
      </c>
      <c r="E5" t="s">
        <v>60</v>
      </c>
      <c r="F5" t="s">
        <v>92</v>
      </c>
      <c r="G5" t="s">
        <v>93</v>
      </c>
      <c r="H5" t="s">
        <v>94</v>
      </c>
      <c r="I5" t="s">
        <v>64</v>
      </c>
      <c r="J5" t="s">
        <v>65</v>
      </c>
      <c r="L5" t="s">
        <v>95</v>
      </c>
      <c r="O5" t="s">
        <v>96</v>
      </c>
      <c r="P5" t="s">
        <v>97</v>
      </c>
      <c r="S5">
        <v>15386</v>
      </c>
      <c r="T5" t="s">
        <v>98</v>
      </c>
      <c r="U5" t="s">
        <v>70</v>
      </c>
      <c r="W5" s="23">
        <v>18629</v>
      </c>
      <c r="X5" t="s">
        <v>99</v>
      </c>
      <c r="Y5" s="23">
        <v>40990</v>
      </c>
      <c r="Z5" s="23">
        <v>2958465</v>
      </c>
      <c r="AA5" s="23">
        <v>42976</v>
      </c>
      <c r="AB5" s="21">
        <v>37</v>
      </c>
      <c r="AC5">
        <v>54725</v>
      </c>
      <c r="AD5" t="s">
        <v>71</v>
      </c>
      <c r="AE5" t="s">
        <v>71</v>
      </c>
    </row>
    <row r="6" spans="1:32" x14ac:dyDescent="0.45">
      <c r="A6">
        <v>968553</v>
      </c>
      <c r="B6" t="s">
        <v>100</v>
      </c>
      <c r="C6" t="s">
        <v>90</v>
      </c>
      <c r="D6" t="s">
        <v>101</v>
      </c>
      <c r="E6" t="s">
        <v>1</v>
      </c>
      <c r="F6" t="s">
        <v>102</v>
      </c>
      <c r="G6" t="s">
        <v>103</v>
      </c>
      <c r="H6" t="s">
        <v>104</v>
      </c>
      <c r="I6" t="s">
        <v>64</v>
      </c>
      <c r="J6" t="s">
        <v>105</v>
      </c>
      <c r="L6" t="s">
        <v>106</v>
      </c>
      <c r="O6" t="s">
        <v>107</v>
      </c>
      <c r="P6" t="s">
        <v>108</v>
      </c>
      <c r="Q6" t="s">
        <v>109</v>
      </c>
      <c r="S6">
        <v>15385</v>
      </c>
      <c r="T6" t="s">
        <v>69</v>
      </c>
      <c r="U6" t="s">
        <v>70</v>
      </c>
      <c r="W6" s="23">
        <v>18629</v>
      </c>
      <c r="X6">
        <v>652547184</v>
      </c>
      <c r="Y6" s="23">
        <v>18629</v>
      </c>
      <c r="Z6" s="23">
        <v>2958465</v>
      </c>
      <c r="AA6" s="23">
        <v>42976</v>
      </c>
      <c r="AB6" s="21">
        <v>37</v>
      </c>
      <c r="AC6">
        <v>26836</v>
      </c>
      <c r="AD6" t="s">
        <v>71</v>
      </c>
      <c r="AE6" t="s">
        <v>71</v>
      </c>
    </row>
    <row r="7" spans="1:32" x14ac:dyDescent="0.45">
      <c r="A7">
        <v>968794</v>
      </c>
      <c r="B7" t="s">
        <v>110</v>
      </c>
      <c r="C7" t="s">
        <v>58</v>
      </c>
      <c r="D7" t="s">
        <v>111</v>
      </c>
      <c r="E7" t="s">
        <v>60</v>
      </c>
      <c r="F7" t="s">
        <v>61</v>
      </c>
      <c r="G7" t="s">
        <v>112</v>
      </c>
      <c r="H7" t="s">
        <v>113</v>
      </c>
      <c r="I7" t="s">
        <v>64</v>
      </c>
      <c r="J7" t="s">
        <v>114</v>
      </c>
      <c r="L7" t="s">
        <v>115</v>
      </c>
      <c r="O7" t="s">
        <v>116</v>
      </c>
      <c r="P7" t="s">
        <v>117</v>
      </c>
      <c r="Q7" t="s">
        <v>118</v>
      </c>
      <c r="S7">
        <v>15385</v>
      </c>
      <c r="T7" t="s">
        <v>69</v>
      </c>
      <c r="U7" t="s">
        <v>70</v>
      </c>
      <c r="W7" s="23">
        <v>18629</v>
      </c>
      <c r="Y7" s="23">
        <v>39112</v>
      </c>
      <c r="Z7" s="23">
        <v>2958465</v>
      </c>
      <c r="AA7" s="23">
        <v>42976</v>
      </c>
      <c r="AB7" s="21">
        <v>37</v>
      </c>
      <c r="AC7">
        <v>50400</v>
      </c>
      <c r="AD7" t="s">
        <v>71</v>
      </c>
      <c r="AE7" t="s">
        <v>71</v>
      </c>
    </row>
    <row r="8" spans="1:32" x14ac:dyDescent="0.45">
      <c r="A8">
        <v>969436</v>
      </c>
      <c r="B8" t="s">
        <v>119</v>
      </c>
      <c r="C8" t="s">
        <v>58</v>
      </c>
      <c r="D8" t="s">
        <v>120</v>
      </c>
      <c r="E8" t="s">
        <v>1</v>
      </c>
      <c r="F8" t="s">
        <v>102</v>
      </c>
      <c r="G8" t="s">
        <v>103</v>
      </c>
      <c r="H8" t="s">
        <v>104</v>
      </c>
      <c r="I8" t="s">
        <v>64</v>
      </c>
      <c r="J8" t="s">
        <v>105</v>
      </c>
      <c r="L8" t="s">
        <v>121</v>
      </c>
      <c r="O8" t="s">
        <v>122</v>
      </c>
      <c r="P8" t="s">
        <v>123</v>
      </c>
      <c r="Q8" t="s">
        <v>124</v>
      </c>
      <c r="S8">
        <v>15385</v>
      </c>
      <c r="T8" t="s">
        <v>69</v>
      </c>
      <c r="U8" t="s">
        <v>70</v>
      </c>
      <c r="W8" s="23">
        <v>18629</v>
      </c>
      <c r="X8">
        <v>201147896</v>
      </c>
      <c r="Y8" s="23">
        <v>36586</v>
      </c>
      <c r="Z8" s="23">
        <v>2958465</v>
      </c>
      <c r="AA8" s="23">
        <v>42976</v>
      </c>
      <c r="AB8" s="21">
        <v>37</v>
      </c>
      <c r="AC8">
        <v>26836</v>
      </c>
      <c r="AD8" t="s">
        <v>71</v>
      </c>
      <c r="AE8" t="s">
        <v>71</v>
      </c>
    </row>
    <row r="9" spans="1:32" x14ac:dyDescent="0.45">
      <c r="A9">
        <v>969448</v>
      </c>
      <c r="B9" t="s">
        <v>125</v>
      </c>
      <c r="C9" t="s">
        <v>90</v>
      </c>
      <c r="D9" t="s">
        <v>126</v>
      </c>
      <c r="E9" t="s">
        <v>1</v>
      </c>
      <c r="F9" t="s">
        <v>127</v>
      </c>
      <c r="G9" t="s">
        <v>128</v>
      </c>
      <c r="H9" t="s">
        <v>129</v>
      </c>
      <c r="I9" t="s">
        <v>130</v>
      </c>
      <c r="J9" t="s">
        <v>131</v>
      </c>
      <c r="L9" t="s">
        <v>132</v>
      </c>
      <c r="O9" t="s">
        <v>133</v>
      </c>
      <c r="P9" t="s">
        <v>134</v>
      </c>
      <c r="S9">
        <v>15386</v>
      </c>
      <c r="T9" t="s">
        <v>98</v>
      </c>
      <c r="U9" t="s">
        <v>70</v>
      </c>
      <c r="W9" s="23">
        <v>18629</v>
      </c>
      <c r="X9" t="s">
        <v>135</v>
      </c>
      <c r="Y9" s="23">
        <v>41373</v>
      </c>
      <c r="Z9" s="23">
        <v>2958465</v>
      </c>
      <c r="AA9" s="23">
        <v>42976</v>
      </c>
      <c r="AB9" s="21">
        <v>37</v>
      </c>
      <c r="AC9">
        <v>37350</v>
      </c>
      <c r="AD9" t="s">
        <v>71</v>
      </c>
      <c r="AE9" t="s">
        <v>71</v>
      </c>
    </row>
    <row r="10" spans="1:32" x14ac:dyDescent="0.45">
      <c r="A10">
        <v>970056</v>
      </c>
      <c r="B10" t="s">
        <v>136</v>
      </c>
      <c r="C10" t="s">
        <v>137</v>
      </c>
      <c r="D10" t="s">
        <v>138</v>
      </c>
      <c r="E10" t="s">
        <v>1</v>
      </c>
      <c r="F10" t="s">
        <v>102</v>
      </c>
      <c r="G10" t="s">
        <v>103</v>
      </c>
      <c r="H10" t="s">
        <v>139</v>
      </c>
      <c r="I10" t="s">
        <v>64</v>
      </c>
      <c r="J10" t="s">
        <v>105</v>
      </c>
      <c r="L10" t="s">
        <v>140</v>
      </c>
      <c r="M10" t="s">
        <v>141</v>
      </c>
      <c r="O10" t="s">
        <v>122</v>
      </c>
      <c r="P10" t="s">
        <v>142</v>
      </c>
      <c r="S10">
        <v>15386</v>
      </c>
      <c r="T10" t="s">
        <v>98</v>
      </c>
      <c r="U10" t="s">
        <v>70</v>
      </c>
      <c r="W10" s="23">
        <v>18629</v>
      </c>
      <c r="X10" t="s">
        <v>143</v>
      </c>
      <c r="Y10" s="23">
        <v>39118</v>
      </c>
      <c r="Z10" s="23">
        <v>2958465</v>
      </c>
      <c r="AA10" s="23">
        <v>42976</v>
      </c>
      <c r="AB10" s="21">
        <v>37</v>
      </c>
      <c r="AC10">
        <v>31840</v>
      </c>
      <c r="AD10" t="s">
        <v>71</v>
      </c>
      <c r="AE10" t="s">
        <v>71</v>
      </c>
    </row>
    <row r="11" spans="1:32" x14ac:dyDescent="0.45">
      <c r="A11">
        <v>970110</v>
      </c>
      <c r="B11" t="s">
        <v>144</v>
      </c>
      <c r="C11" t="s">
        <v>145</v>
      </c>
      <c r="D11" t="s">
        <v>146</v>
      </c>
      <c r="E11" t="s">
        <v>1</v>
      </c>
      <c r="F11" t="s">
        <v>102</v>
      </c>
      <c r="G11" t="s">
        <v>147</v>
      </c>
      <c r="H11" t="s">
        <v>104</v>
      </c>
      <c r="I11" t="s">
        <v>130</v>
      </c>
      <c r="J11" t="s">
        <v>131</v>
      </c>
      <c r="L11" t="s">
        <v>148</v>
      </c>
      <c r="M11" t="s">
        <v>149</v>
      </c>
      <c r="O11" t="s">
        <v>133</v>
      </c>
      <c r="P11" t="s">
        <v>150</v>
      </c>
      <c r="Q11" t="s">
        <v>151</v>
      </c>
      <c r="S11">
        <v>15385</v>
      </c>
      <c r="T11" t="s">
        <v>69</v>
      </c>
      <c r="U11" t="s">
        <v>70</v>
      </c>
      <c r="W11" s="23">
        <v>18629</v>
      </c>
      <c r="X11">
        <v>210487650</v>
      </c>
      <c r="Y11" s="23">
        <v>40257</v>
      </c>
      <c r="Z11" s="23">
        <v>2958465</v>
      </c>
      <c r="AA11" s="23">
        <v>42976</v>
      </c>
      <c r="AB11" s="21">
        <v>37</v>
      </c>
      <c r="AC11">
        <v>25531</v>
      </c>
      <c r="AD11" t="s">
        <v>71</v>
      </c>
      <c r="AE11" t="s">
        <v>71</v>
      </c>
    </row>
    <row r="12" spans="1:32" x14ac:dyDescent="0.45">
      <c r="A12">
        <v>970306</v>
      </c>
      <c r="B12" t="s">
        <v>152</v>
      </c>
      <c r="C12" t="s">
        <v>153</v>
      </c>
      <c r="D12" t="s">
        <v>154</v>
      </c>
      <c r="E12" t="s">
        <v>1</v>
      </c>
      <c r="F12" t="s">
        <v>102</v>
      </c>
      <c r="G12" t="s">
        <v>103</v>
      </c>
      <c r="H12" t="s">
        <v>155</v>
      </c>
      <c r="I12" t="s">
        <v>64</v>
      </c>
      <c r="J12" t="s">
        <v>156</v>
      </c>
      <c r="L12" t="s">
        <v>157</v>
      </c>
      <c r="M12" t="s">
        <v>158</v>
      </c>
      <c r="O12" t="s">
        <v>159</v>
      </c>
      <c r="P12" t="s">
        <v>160</v>
      </c>
      <c r="S12">
        <v>15385</v>
      </c>
      <c r="T12" t="s">
        <v>69</v>
      </c>
      <c r="U12" t="s">
        <v>70</v>
      </c>
      <c r="W12" s="23">
        <v>18629</v>
      </c>
      <c r="Y12" s="23">
        <v>41179</v>
      </c>
      <c r="Z12" s="23">
        <v>2958465</v>
      </c>
      <c r="AA12" s="23">
        <v>42976</v>
      </c>
      <c r="AB12" s="21">
        <v>37</v>
      </c>
      <c r="AC12">
        <v>24957</v>
      </c>
      <c r="AD12" t="s">
        <v>71</v>
      </c>
      <c r="AE12" t="s">
        <v>71</v>
      </c>
    </row>
    <row r="13" spans="1:32" x14ac:dyDescent="0.45">
      <c r="A13">
        <v>970487</v>
      </c>
      <c r="B13" t="s">
        <v>161</v>
      </c>
      <c r="C13" t="s">
        <v>162</v>
      </c>
      <c r="D13" t="s">
        <v>163</v>
      </c>
      <c r="E13" t="s">
        <v>1</v>
      </c>
      <c r="F13" t="s">
        <v>74</v>
      </c>
      <c r="G13" t="s">
        <v>75</v>
      </c>
      <c r="H13" t="s">
        <v>164</v>
      </c>
      <c r="I13" t="s">
        <v>64</v>
      </c>
      <c r="J13" t="s">
        <v>77</v>
      </c>
      <c r="L13" t="s">
        <v>165</v>
      </c>
      <c r="O13" t="s">
        <v>80</v>
      </c>
      <c r="P13" t="s">
        <v>166</v>
      </c>
      <c r="S13">
        <v>15385</v>
      </c>
      <c r="T13" t="s">
        <v>69</v>
      </c>
      <c r="U13" t="s">
        <v>70</v>
      </c>
      <c r="W13" s="23">
        <v>18629</v>
      </c>
      <c r="X13">
        <v>464933956</v>
      </c>
      <c r="Y13" s="23">
        <v>40124</v>
      </c>
      <c r="Z13" s="23">
        <v>2958465</v>
      </c>
      <c r="AA13" s="23">
        <v>42976</v>
      </c>
      <c r="AB13" s="21">
        <v>37</v>
      </c>
      <c r="AC13">
        <v>29980</v>
      </c>
      <c r="AD13" t="s">
        <v>71</v>
      </c>
      <c r="AE13" t="s">
        <v>71</v>
      </c>
    </row>
    <row r="14" spans="1:32" x14ac:dyDescent="0.45">
      <c r="A14">
        <v>971388</v>
      </c>
      <c r="B14" t="s">
        <v>167</v>
      </c>
      <c r="C14" t="s">
        <v>168</v>
      </c>
      <c r="D14" t="s">
        <v>169</v>
      </c>
      <c r="E14" t="s">
        <v>1</v>
      </c>
      <c r="F14" t="s">
        <v>102</v>
      </c>
      <c r="G14" t="s">
        <v>170</v>
      </c>
      <c r="H14" t="s">
        <v>171</v>
      </c>
      <c r="I14" t="s">
        <v>64</v>
      </c>
      <c r="J14" t="s">
        <v>105</v>
      </c>
      <c r="L14" t="s">
        <v>172</v>
      </c>
      <c r="O14" t="s">
        <v>107</v>
      </c>
      <c r="P14" t="s">
        <v>173</v>
      </c>
      <c r="S14">
        <v>15386</v>
      </c>
      <c r="T14" t="s">
        <v>98</v>
      </c>
      <c r="U14" t="s">
        <v>70</v>
      </c>
      <c r="W14" s="23">
        <v>18629</v>
      </c>
      <c r="X14" t="s">
        <v>174</v>
      </c>
      <c r="Y14" s="23">
        <v>39752</v>
      </c>
      <c r="Z14" s="23">
        <v>2958465</v>
      </c>
      <c r="AA14" s="23">
        <v>42976</v>
      </c>
      <c r="AB14" s="21">
        <v>37</v>
      </c>
      <c r="AC14">
        <v>31268</v>
      </c>
      <c r="AD14" t="s">
        <v>71</v>
      </c>
      <c r="AE14" t="s">
        <v>71</v>
      </c>
    </row>
    <row r="15" spans="1:32" x14ac:dyDescent="0.45">
      <c r="A15">
        <v>971434</v>
      </c>
      <c r="B15" t="s">
        <v>175</v>
      </c>
      <c r="C15" t="s">
        <v>176</v>
      </c>
      <c r="D15" t="s">
        <v>177</v>
      </c>
      <c r="E15" t="s">
        <v>1</v>
      </c>
      <c r="F15" t="s">
        <v>102</v>
      </c>
      <c r="G15" t="s">
        <v>178</v>
      </c>
      <c r="H15" t="s">
        <v>179</v>
      </c>
      <c r="I15" t="s">
        <v>64</v>
      </c>
      <c r="J15" t="s">
        <v>180</v>
      </c>
      <c r="L15" t="s">
        <v>181</v>
      </c>
      <c r="O15" t="s">
        <v>182</v>
      </c>
      <c r="P15" t="s">
        <v>183</v>
      </c>
      <c r="S15">
        <v>15385</v>
      </c>
      <c r="T15" t="s">
        <v>69</v>
      </c>
      <c r="U15" t="s">
        <v>70</v>
      </c>
      <c r="W15" s="23">
        <v>18629</v>
      </c>
      <c r="Y15" s="23">
        <v>42339</v>
      </c>
      <c r="Z15" s="23">
        <v>2958465</v>
      </c>
      <c r="AA15" s="23">
        <v>42976</v>
      </c>
      <c r="AB15" s="21">
        <v>37</v>
      </c>
      <c r="AC15">
        <v>71539</v>
      </c>
      <c r="AD15" t="s">
        <v>71</v>
      </c>
      <c r="AE15" t="s">
        <v>71</v>
      </c>
    </row>
    <row r="16" spans="1:32" x14ac:dyDescent="0.45">
      <c r="A16">
        <v>971544</v>
      </c>
      <c r="B16" t="s">
        <v>184</v>
      </c>
      <c r="C16" t="s">
        <v>58</v>
      </c>
      <c r="D16" t="s">
        <v>185</v>
      </c>
      <c r="E16" t="s">
        <v>1</v>
      </c>
      <c r="F16" t="s">
        <v>102</v>
      </c>
      <c r="G16" t="s">
        <v>186</v>
      </c>
      <c r="H16" t="s">
        <v>104</v>
      </c>
      <c r="I16" t="s">
        <v>64</v>
      </c>
      <c r="J16" t="s">
        <v>105</v>
      </c>
      <c r="L16" t="s">
        <v>187</v>
      </c>
      <c r="O16" t="s">
        <v>122</v>
      </c>
      <c r="P16" t="s">
        <v>188</v>
      </c>
      <c r="Q16" t="s">
        <v>189</v>
      </c>
      <c r="S16">
        <v>15385</v>
      </c>
      <c r="T16" t="s">
        <v>69</v>
      </c>
      <c r="U16" t="s">
        <v>70</v>
      </c>
      <c r="W16" s="23">
        <v>18629</v>
      </c>
      <c r="X16" t="s">
        <v>190</v>
      </c>
      <c r="Y16" s="23">
        <v>41220</v>
      </c>
      <c r="Z16" s="23">
        <v>2958465</v>
      </c>
      <c r="AA16" s="23">
        <v>42976</v>
      </c>
      <c r="AB16" s="21">
        <v>37</v>
      </c>
      <c r="AC16">
        <v>26836</v>
      </c>
      <c r="AD16" t="s">
        <v>71</v>
      </c>
      <c r="AE16" t="s">
        <v>71</v>
      </c>
    </row>
    <row r="17" spans="1:31" x14ac:dyDescent="0.45">
      <c r="A17">
        <v>971699</v>
      </c>
      <c r="B17" t="s">
        <v>191</v>
      </c>
      <c r="C17" t="s">
        <v>192</v>
      </c>
      <c r="D17" t="s">
        <v>193</v>
      </c>
      <c r="E17" t="s">
        <v>1</v>
      </c>
      <c r="F17" t="s">
        <v>102</v>
      </c>
      <c r="G17" t="s">
        <v>103</v>
      </c>
      <c r="H17" t="s">
        <v>194</v>
      </c>
      <c r="I17" t="s">
        <v>64</v>
      </c>
      <c r="J17" t="s">
        <v>105</v>
      </c>
      <c r="L17" t="s">
        <v>195</v>
      </c>
      <c r="O17" t="s">
        <v>196</v>
      </c>
      <c r="P17" t="s">
        <v>197</v>
      </c>
      <c r="S17">
        <v>15385</v>
      </c>
      <c r="T17" t="s">
        <v>69</v>
      </c>
      <c r="U17" t="s">
        <v>70</v>
      </c>
      <c r="W17" s="23">
        <v>18629</v>
      </c>
      <c r="Y17" s="23">
        <v>18629</v>
      </c>
      <c r="Z17" s="23">
        <v>2958465</v>
      </c>
      <c r="AA17" s="23">
        <v>42976</v>
      </c>
      <c r="AB17" s="21">
        <v>37</v>
      </c>
      <c r="AC17">
        <v>26836</v>
      </c>
      <c r="AD17" t="s">
        <v>71</v>
      </c>
      <c r="AE17" t="s">
        <v>71</v>
      </c>
    </row>
    <row r="18" spans="1:31" x14ac:dyDescent="0.45">
      <c r="A18">
        <v>972584</v>
      </c>
      <c r="B18" t="s">
        <v>198</v>
      </c>
      <c r="C18" t="s">
        <v>58</v>
      </c>
      <c r="D18" t="s">
        <v>199</v>
      </c>
      <c r="E18" t="s">
        <v>1</v>
      </c>
      <c r="F18" t="s">
        <v>74</v>
      </c>
      <c r="G18" t="s">
        <v>75</v>
      </c>
      <c r="H18" t="s">
        <v>200</v>
      </c>
      <c r="I18" t="s">
        <v>64</v>
      </c>
      <c r="J18" t="s">
        <v>77</v>
      </c>
      <c r="L18" t="s">
        <v>201</v>
      </c>
      <c r="O18" t="s">
        <v>202</v>
      </c>
      <c r="P18" t="s">
        <v>203</v>
      </c>
      <c r="S18">
        <v>15386</v>
      </c>
      <c r="T18" t="s">
        <v>98</v>
      </c>
      <c r="U18" t="s">
        <v>70</v>
      </c>
      <c r="W18" s="23">
        <v>18629</v>
      </c>
      <c r="X18" t="s">
        <v>204</v>
      </c>
      <c r="Y18" s="23">
        <v>39624</v>
      </c>
      <c r="Z18" s="23">
        <v>2958465</v>
      </c>
      <c r="AA18" s="23">
        <v>42976</v>
      </c>
      <c r="AB18" s="21">
        <v>37</v>
      </c>
      <c r="AC18">
        <v>38397</v>
      </c>
      <c r="AD18" t="s">
        <v>71</v>
      </c>
      <c r="AE18" t="s">
        <v>71</v>
      </c>
    </row>
    <row r="19" spans="1:31" x14ac:dyDescent="0.45">
      <c r="A19">
        <v>972817</v>
      </c>
      <c r="B19" t="s">
        <v>205</v>
      </c>
      <c r="C19" t="s">
        <v>206</v>
      </c>
      <c r="D19" t="s">
        <v>185</v>
      </c>
      <c r="E19" t="s">
        <v>1</v>
      </c>
      <c r="F19" t="s">
        <v>102</v>
      </c>
      <c r="G19" t="s">
        <v>186</v>
      </c>
      <c r="H19" t="s">
        <v>104</v>
      </c>
      <c r="I19" t="s">
        <v>64</v>
      </c>
      <c r="J19" t="s">
        <v>105</v>
      </c>
      <c r="L19" t="s">
        <v>207</v>
      </c>
      <c r="O19" t="s">
        <v>80</v>
      </c>
      <c r="P19" t="s">
        <v>208</v>
      </c>
      <c r="Q19">
        <v>2087407338</v>
      </c>
      <c r="S19">
        <v>15386</v>
      </c>
      <c r="T19" t="s">
        <v>98</v>
      </c>
      <c r="U19" t="s">
        <v>70</v>
      </c>
      <c r="W19" s="23">
        <v>18629</v>
      </c>
      <c r="X19" t="s">
        <v>209</v>
      </c>
      <c r="Y19" s="23">
        <v>35887</v>
      </c>
      <c r="Z19" s="23">
        <v>2958465</v>
      </c>
      <c r="AA19" s="23">
        <v>42976</v>
      </c>
      <c r="AB19" s="21">
        <v>37</v>
      </c>
      <c r="AC19">
        <v>26836</v>
      </c>
      <c r="AD19" t="s">
        <v>71</v>
      </c>
      <c r="AE19" t="s">
        <v>71</v>
      </c>
    </row>
    <row r="20" spans="1:31" x14ac:dyDescent="0.45">
      <c r="A20">
        <v>972827</v>
      </c>
      <c r="B20" t="s">
        <v>210</v>
      </c>
      <c r="C20" t="s">
        <v>211</v>
      </c>
      <c r="D20" t="s">
        <v>212</v>
      </c>
      <c r="E20" t="s">
        <v>1</v>
      </c>
      <c r="F20" t="s">
        <v>102</v>
      </c>
      <c r="G20" t="s">
        <v>103</v>
      </c>
      <c r="H20" t="s">
        <v>104</v>
      </c>
      <c r="I20" t="s">
        <v>130</v>
      </c>
      <c r="J20" t="s">
        <v>105</v>
      </c>
      <c r="L20" t="s">
        <v>213</v>
      </c>
      <c r="M20" t="s">
        <v>214</v>
      </c>
      <c r="O20" t="s">
        <v>215</v>
      </c>
      <c r="P20" t="s">
        <v>216</v>
      </c>
      <c r="S20">
        <v>15386</v>
      </c>
      <c r="T20" t="s">
        <v>98</v>
      </c>
      <c r="U20" t="s">
        <v>70</v>
      </c>
      <c r="W20" s="23">
        <v>18629</v>
      </c>
      <c r="X20" t="s">
        <v>217</v>
      </c>
      <c r="Y20" s="23">
        <v>39895</v>
      </c>
      <c r="Z20" s="23">
        <v>2958465</v>
      </c>
      <c r="AA20" s="23">
        <v>42976</v>
      </c>
      <c r="AB20" s="21">
        <v>37</v>
      </c>
      <c r="AC20">
        <v>26836</v>
      </c>
      <c r="AD20" t="s">
        <v>71</v>
      </c>
      <c r="AE20" t="s">
        <v>71</v>
      </c>
    </row>
    <row r="21" spans="1:31" x14ac:dyDescent="0.45">
      <c r="A21">
        <v>972980</v>
      </c>
      <c r="B21" t="s">
        <v>218</v>
      </c>
      <c r="C21" t="s">
        <v>90</v>
      </c>
      <c r="D21" t="s">
        <v>219</v>
      </c>
      <c r="E21" t="s">
        <v>1</v>
      </c>
      <c r="F21" t="s">
        <v>102</v>
      </c>
      <c r="G21" t="s">
        <v>147</v>
      </c>
      <c r="H21" t="s">
        <v>104</v>
      </c>
      <c r="I21" t="s">
        <v>64</v>
      </c>
      <c r="J21" t="s">
        <v>131</v>
      </c>
      <c r="L21" t="s">
        <v>220</v>
      </c>
      <c r="O21" t="s">
        <v>221</v>
      </c>
      <c r="P21" t="s">
        <v>222</v>
      </c>
      <c r="Q21" t="s">
        <v>223</v>
      </c>
      <c r="S21">
        <v>15386</v>
      </c>
      <c r="T21" t="s">
        <v>98</v>
      </c>
      <c r="U21" t="s">
        <v>70</v>
      </c>
      <c r="W21" s="23">
        <v>18629</v>
      </c>
      <c r="X21" t="s">
        <v>224</v>
      </c>
      <c r="Y21" s="23">
        <v>41436</v>
      </c>
      <c r="Z21" s="23">
        <v>2958465</v>
      </c>
      <c r="AA21" s="23">
        <v>42976</v>
      </c>
      <c r="AB21" s="21">
        <v>37</v>
      </c>
      <c r="AC21">
        <v>25531</v>
      </c>
      <c r="AD21" t="s">
        <v>71</v>
      </c>
      <c r="AE21" t="s">
        <v>71</v>
      </c>
    </row>
    <row r="22" spans="1:31" x14ac:dyDescent="0.45">
      <c r="A22">
        <v>972981</v>
      </c>
      <c r="B22" t="s">
        <v>225</v>
      </c>
      <c r="C22" t="s">
        <v>226</v>
      </c>
      <c r="D22" t="s">
        <v>227</v>
      </c>
      <c r="E22" t="s">
        <v>60</v>
      </c>
      <c r="F22" t="s">
        <v>61</v>
      </c>
      <c r="G22" t="s">
        <v>228</v>
      </c>
      <c r="H22" t="s">
        <v>229</v>
      </c>
      <c r="I22" t="s">
        <v>64</v>
      </c>
      <c r="J22" t="s">
        <v>114</v>
      </c>
      <c r="L22" t="s">
        <v>230</v>
      </c>
      <c r="O22" t="s">
        <v>80</v>
      </c>
      <c r="P22" t="s">
        <v>231</v>
      </c>
      <c r="S22">
        <v>15385</v>
      </c>
      <c r="T22" t="s">
        <v>69</v>
      </c>
      <c r="U22" t="s">
        <v>70</v>
      </c>
      <c r="W22" s="23">
        <v>18629</v>
      </c>
      <c r="Y22" s="23">
        <v>18629</v>
      </c>
      <c r="Z22" s="23">
        <v>2958465</v>
      </c>
      <c r="AA22" s="23">
        <v>42976</v>
      </c>
      <c r="AB22" s="21">
        <v>37</v>
      </c>
      <c r="AC22">
        <v>60900</v>
      </c>
      <c r="AD22" t="s">
        <v>71</v>
      </c>
      <c r="AE22" t="s">
        <v>71</v>
      </c>
    </row>
    <row r="23" spans="1:31" x14ac:dyDescent="0.45">
      <c r="A23">
        <v>973938</v>
      </c>
      <c r="B23" t="s">
        <v>232</v>
      </c>
      <c r="C23" t="s">
        <v>233</v>
      </c>
      <c r="D23" t="s">
        <v>234</v>
      </c>
      <c r="E23" t="s">
        <v>1</v>
      </c>
      <c r="F23" t="s">
        <v>102</v>
      </c>
      <c r="G23" t="s">
        <v>235</v>
      </c>
      <c r="H23" t="s">
        <v>236</v>
      </c>
      <c r="I23" t="s">
        <v>64</v>
      </c>
      <c r="J23" t="s">
        <v>105</v>
      </c>
      <c r="L23" t="s">
        <v>237</v>
      </c>
      <c r="O23" t="s">
        <v>215</v>
      </c>
      <c r="P23" t="s">
        <v>238</v>
      </c>
      <c r="S23">
        <v>15385</v>
      </c>
      <c r="T23" t="s">
        <v>69</v>
      </c>
      <c r="U23" t="s">
        <v>70</v>
      </c>
      <c r="W23" s="23">
        <v>18629</v>
      </c>
      <c r="Y23" s="23">
        <v>18629</v>
      </c>
      <c r="Z23" s="23">
        <v>2958465</v>
      </c>
      <c r="AA23" s="23">
        <v>42976</v>
      </c>
      <c r="AB23" s="21">
        <v>37</v>
      </c>
      <c r="AC23">
        <v>51303</v>
      </c>
      <c r="AD23" t="s">
        <v>71</v>
      </c>
      <c r="AE23" t="s">
        <v>71</v>
      </c>
    </row>
    <row r="24" spans="1:31" x14ac:dyDescent="0.45">
      <c r="A24">
        <v>974180</v>
      </c>
      <c r="B24" t="s">
        <v>239</v>
      </c>
      <c r="C24" t="s">
        <v>240</v>
      </c>
      <c r="D24" t="s">
        <v>241</v>
      </c>
      <c r="E24" t="s">
        <v>1</v>
      </c>
      <c r="F24" t="s">
        <v>102</v>
      </c>
      <c r="G24" t="s">
        <v>103</v>
      </c>
      <c r="H24" t="s">
        <v>104</v>
      </c>
      <c r="I24" t="s">
        <v>64</v>
      </c>
      <c r="J24" t="s">
        <v>131</v>
      </c>
      <c r="K24" t="s">
        <v>131</v>
      </c>
      <c r="L24" t="s">
        <v>242</v>
      </c>
      <c r="O24" t="s">
        <v>221</v>
      </c>
      <c r="P24" t="s">
        <v>243</v>
      </c>
      <c r="S24">
        <v>15385</v>
      </c>
      <c r="T24" t="s">
        <v>69</v>
      </c>
      <c r="U24" t="s">
        <v>70</v>
      </c>
      <c r="W24" s="23">
        <v>18629</v>
      </c>
      <c r="Y24" s="23">
        <v>18629</v>
      </c>
      <c r="Z24" s="23">
        <v>2958465</v>
      </c>
      <c r="AA24" s="23">
        <v>42976</v>
      </c>
      <c r="AB24" s="21">
        <v>37</v>
      </c>
      <c r="AC24">
        <v>25531</v>
      </c>
      <c r="AD24" t="s">
        <v>71</v>
      </c>
      <c r="AE24" t="s">
        <v>71</v>
      </c>
    </row>
    <row r="25" spans="1:31" x14ac:dyDescent="0.45">
      <c r="A25">
        <v>974434</v>
      </c>
      <c r="B25" t="s">
        <v>244</v>
      </c>
      <c r="C25" t="s">
        <v>58</v>
      </c>
      <c r="D25" t="s">
        <v>73</v>
      </c>
      <c r="E25" t="s">
        <v>1</v>
      </c>
      <c r="F25" t="s">
        <v>74</v>
      </c>
      <c r="G25" t="s">
        <v>75</v>
      </c>
      <c r="H25" t="s">
        <v>76</v>
      </c>
      <c r="I25" t="s">
        <v>64</v>
      </c>
      <c r="J25" t="s">
        <v>77</v>
      </c>
      <c r="L25" t="s">
        <v>245</v>
      </c>
      <c r="M25" t="s">
        <v>246</v>
      </c>
      <c r="O25" t="s">
        <v>247</v>
      </c>
      <c r="P25" t="s">
        <v>248</v>
      </c>
      <c r="S25">
        <v>15385</v>
      </c>
      <c r="T25" t="s">
        <v>69</v>
      </c>
      <c r="U25" t="s">
        <v>70</v>
      </c>
      <c r="W25" s="23">
        <v>18629</v>
      </c>
      <c r="Y25" s="23">
        <v>18629</v>
      </c>
      <c r="Z25" s="23">
        <v>2958465</v>
      </c>
      <c r="AA25" s="23">
        <v>42976</v>
      </c>
      <c r="AB25" s="21">
        <v>37</v>
      </c>
      <c r="AC25">
        <v>29980</v>
      </c>
      <c r="AD25" t="s">
        <v>71</v>
      </c>
      <c r="AE25" t="s">
        <v>71</v>
      </c>
    </row>
    <row r="26" spans="1:31" x14ac:dyDescent="0.45">
      <c r="A26">
        <v>974467</v>
      </c>
      <c r="B26" t="s">
        <v>249</v>
      </c>
      <c r="C26" t="s">
        <v>250</v>
      </c>
      <c r="D26" t="s">
        <v>251</v>
      </c>
      <c r="E26" t="s">
        <v>1</v>
      </c>
      <c r="F26" t="s">
        <v>102</v>
      </c>
      <c r="G26" t="s">
        <v>103</v>
      </c>
      <c r="H26" t="s">
        <v>194</v>
      </c>
      <c r="I26" t="s">
        <v>64</v>
      </c>
      <c r="J26" t="s">
        <v>131</v>
      </c>
      <c r="L26" t="s">
        <v>252</v>
      </c>
      <c r="O26" t="s">
        <v>133</v>
      </c>
      <c r="P26" t="s">
        <v>253</v>
      </c>
      <c r="Q26">
        <v>1392537212</v>
      </c>
      <c r="S26">
        <v>15386</v>
      </c>
      <c r="T26" t="s">
        <v>98</v>
      </c>
      <c r="U26" t="s">
        <v>70</v>
      </c>
      <c r="W26" s="23">
        <v>18629</v>
      </c>
      <c r="X26" t="s">
        <v>254</v>
      </c>
      <c r="Y26" s="23">
        <v>40429</v>
      </c>
      <c r="Z26" s="23">
        <v>2958465</v>
      </c>
      <c r="AA26" s="23">
        <v>42976</v>
      </c>
      <c r="AB26" s="21">
        <v>37</v>
      </c>
      <c r="AC26">
        <v>25531</v>
      </c>
      <c r="AD26" t="s">
        <v>71</v>
      </c>
      <c r="AE26" t="s">
        <v>71</v>
      </c>
    </row>
    <row r="27" spans="1:31" x14ac:dyDescent="0.45">
      <c r="A27">
        <v>974566</v>
      </c>
      <c r="B27" t="s">
        <v>255</v>
      </c>
      <c r="C27" t="s">
        <v>256</v>
      </c>
      <c r="D27" t="s">
        <v>257</v>
      </c>
      <c r="E27" t="s">
        <v>1</v>
      </c>
      <c r="F27" t="s">
        <v>102</v>
      </c>
      <c r="G27" t="s">
        <v>258</v>
      </c>
      <c r="H27" t="s">
        <v>259</v>
      </c>
      <c r="I27" t="s">
        <v>64</v>
      </c>
      <c r="J27" t="s">
        <v>156</v>
      </c>
      <c r="L27" t="s">
        <v>260</v>
      </c>
      <c r="M27" t="s">
        <v>261</v>
      </c>
      <c r="O27" t="s">
        <v>159</v>
      </c>
      <c r="P27" t="s">
        <v>262</v>
      </c>
      <c r="S27">
        <v>15386</v>
      </c>
      <c r="T27" t="s">
        <v>98</v>
      </c>
      <c r="U27" t="s">
        <v>70</v>
      </c>
      <c r="W27" s="23">
        <v>18629</v>
      </c>
      <c r="X27" t="s">
        <v>263</v>
      </c>
      <c r="Y27" s="23">
        <v>42447</v>
      </c>
      <c r="Z27" s="23">
        <v>2958465</v>
      </c>
      <c r="AA27" s="23">
        <v>42976</v>
      </c>
      <c r="AB27" s="21">
        <v>37</v>
      </c>
      <c r="AC27">
        <v>29610</v>
      </c>
      <c r="AD27" t="s">
        <v>71</v>
      </c>
      <c r="AE27" t="s">
        <v>71</v>
      </c>
    </row>
    <row r="28" spans="1:31" x14ac:dyDescent="0.45">
      <c r="A28">
        <v>974729</v>
      </c>
      <c r="B28" t="s">
        <v>264</v>
      </c>
      <c r="C28" t="s">
        <v>192</v>
      </c>
      <c r="D28" t="s">
        <v>265</v>
      </c>
      <c r="E28" t="s">
        <v>1</v>
      </c>
      <c r="F28" t="s">
        <v>102</v>
      </c>
      <c r="G28" t="s">
        <v>103</v>
      </c>
      <c r="H28" t="s">
        <v>104</v>
      </c>
      <c r="I28" t="s">
        <v>64</v>
      </c>
      <c r="J28" t="s">
        <v>105</v>
      </c>
      <c r="L28" t="s">
        <v>266</v>
      </c>
      <c r="M28" t="s">
        <v>267</v>
      </c>
      <c r="O28" t="s">
        <v>215</v>
      </c>
      <c r="P28" t="s">
        <v>268</v>
      </c>
      <c r="Q28">
        <v>1273231459</v>
      </c>
      <c r="S28">
        <v>15386</v>
      </c>
      <c r="T28" t="s">
        <v>98</v>
      </c>
      <c r="U28" t="s">
        <v>70</v>
      </c>
      <c r="W28" s="23">
        <v>18629</v>
      </c>
      <c r="X28" t="s">
        <v>269</v>
      </c>
      <c r="Y28" s="23">
        <v>40879</v>
      </c>
      <c r="Z28" s="23">
        <v>2958465</v>
      </c>
      <c r="AA28" s="23">
        <v>42976</v>
      </c>
      <c r="AB28" s="21">
        <v>37</v>
      </c>
      <c r="AC28">
        <v>26836</v>
      </c>
      <c r="AD28" t="s">
        <v>71</v>
      </c>
      <c r="AE28" t="s">
        <v>71</v>
      </c>
    </row>
    <row r="29" spans="1:31" x14ac:dyDescent="0.45">
      <c r="A29">
        <v>974731</v>
      </c>
      <c r="B29" t="s">
        <v>270</v>
      </c>
      <c r="C29" t="s">
        <v>256</v>
      </c>
      <c r="D29" t="s">
        <v>265</v>
      </c>
      <c r="E29" t="s">
        <v>1</v>
      </c>
      <c r="F29" t="s">
        <v>102</v>
      </c>
      <c r="G29" t="s">
        <v>103</v>
      </c>
      <c r="H29" t="s">
        <v>104</v>
      </c>
      <c r="I29" t="s">
        <v>64</v>
      </c>
      <c r="J29" t="s">
        <v>105</v>
      </c>
      <c r="L29" t="s">
        <v>271</v>
      </c>
      <c r="O29" t="s">
        <v>67</v>
      </c>
      <c r="P29" t="s">
        <v>272</v>
      </c>
      <c r="S29">
        <v>15408</v>
      </c>
      <c r="T29" t="s">
        <v>273</v>
      </c>
      <c r="U29" t="s">
        <v>70</v>
      </c>
      <c r="V29" s="23">
        <v>44450</v>
      </c>
      <c r="X29" t="s">
        <v>274</v>
      </c>
      <c r="Y29" s="23">
        <v>43627</v>
      </c>
      <c r="Z29" s="23">
        <v>44541</v>
      </c>
      <c r="AA29" s="23">
        <v>43654</v>
      </c>
      <c r="AB29" s="21">
        <v>37</v>
      </c>
      <c r="AC29">
        <v>26836</v>
      </c>
      <c r="AD29" t="s">
        <v>71</v>
      </c>
      <c r="AE29" t="s">
        <v>71</v>
      </c>
    </row>
    <row r="30" spans="1:31" x14ac:dyDescent="0.45">
      <c r="A30">
        <v>974731</v>
      </c>
      <c r="B30" t="s">
        <v>270</v>
      </c>
      <c r="C30" t="s">
        <v>256</v>
      </c>
      <c r="D30" t="s">
        <v>265</v>
      </c>
      <c r="E30" t="s">
        <v>1</v>
      </c>
      <c r="F30" t="s">
        <v>102</v>
      </c>
      <c r="G30" t="s">
        <v>103</v>
      </c>
      <c r="H30" t="s">
        <v>104</v>
      </c>
      <c r="I30" t="s">
        <v>64</v>
      </c>
      <c r="J30" t="s">
        <v>105</v>
      </c>
      <c r="L30" t="s">
        <v>271</v>
      </c>
      <c r="O30" t="s">
        <v>67</v>
      </c>
      <c r="P30" t="s">
        <v>272</v>
      </c>
      <c r="S30">
        <v>15390</v>
      </c>
      <c r="T30" t="s">
        <v>275</v>
      </c>
      <c r="U30" t="s">
        <v>70</v>
      </c>
      <c r="V30" s="23">
        <v>43232</v>
      </c>
      <c r="W30" s="23">
        <v>43411</v>
      </c>
      <c r="X30" t="s">
        <v>276</v>
      </c>
      <c r="Y30" s="23">
        <v>42496</v>
      </c>
      <c r="Z30" s="23">
        <v>43411</v>
      </c>
      <c r="AA30" s="23">
        <v>42976</v>
      </c>
      <c r="AB30" s="21">
        <v>37</v>
      </c>
      <c r="AC30">
        <v>26836</v>
      </c>
      <c r="AD30" t="s">
        <v>71</v>
      </c>
      <c r="AE30" t="s">
        <v>71</v>
      </c>
    </row>
    <row r="31" spans="1:31" x14ac:dyDescent="0.45">
      <c r="A31">
        <v>975294</v>
      </c>
      <c r="B31" t="s">
        <v>277</v>
      </c>
      <c r="C31" t="s">
        <v>278</v>
      </c>
      <c r="D31" t="s">
        <v>279</v>
      </c>
      <c r="E31" t="s">
        <v>1</v>
      </c>
      <c r="F31" t="s">
        <v>102</v>
      </c>
      <c r="G31" t="s">
        <v>170</v>
      </c>
      <c r="H31" t="s">
        <v>280</v>
      </c>
      <c r="I31" t="s">
        <v>64</v>
      </c>
      <c r="J31" t="s">
        <v>281</v>
      </c>
      <c r="K31" t="s">
        <v>77</v>
      </c>
      <c r="L31" t="s">
        <v>282</v>
      </c>
      <c r="O31" t="s">
        <v>283</v>
      </c>
      <c r="P31" t="s">
        <v>284</v>
      </c>
      <c r="S31">
        <v>15385</v>
      </c>
      <c r="T31" t="s">
        <v>69</v>
      </c>
      <c r="U31" t="s">
        <v>70</v>
      </c>
      <c r="W31" s="23">
        <v>18629</v>
      </c>
      <c r="Y31" s="23">
        <v>18629</v>
      </c>
      <c r="Z31" s="23">
        <v>2958465</v>
      </c>
      <c r="AA31" s="23">
        <v>42976</v>
      </c>
      <c r="AB31" s="21">
        <v>37</v>
      </c>
      <c r="AC31">
        <v>37985</v>
      </c>
      <c r="AD31" t="s">
        <v>71</v>
      </c>
      <c r="AE31" t="s">
        <v>71</v>
      </c>
    </row>
    <row r="32" spans="1:31" x14ac:dyDescent="0.45">
      <c r="A32">
        <v>975671</v>
      </c>
      <c r="B32" t="s">
        <v>285</v>
      </c>
      <c r="C32" t="s">
        <v>153</v>
      </c>
      <c r="D32" t="s">
        <v>286</v>
      </c>
      <c r="E32" t="s">
        <v>1</v>
      </c>
      <c r="F32" t="s">
        <v>74</v>
      </c>
      <c r="G32" t="s">
        <v>75</v>
      </c>
      <c r="H32" t="s">
        <v>287</v>
      </c>
      <c r="I32" t="s">
        <v>64</v>
      </c>
      <c r="J32" t="s">
        <v>77</v>
      </c>
      <c r="L32" t="s">
        <v>288</v>
      </c>
      <c r="O32" t="s">
        <v>289</v>
      </c>
      <c r="P32" t="s">
        <v>290</v>
      </c>
      <c r="S32">
        <v>15386</v>
      </c>
      <c r="T32" t="s">
        <v>98</v>
      </c>
      <c r="U32" t="s">
        <v>70</v>
      </c>
      <c r="W32" s="23">
        <v>18629</v>
      </c>
      <c r="X32" t="s">
        <v>291</v>
      </c>
      <c r="Y32" s="23">
        <v>42040</v>
      </c>
      <c r="Z32" s="23">
        <v>2958465</v>
      </c>
      <c r="AA32" s="23">
        <v>42976</v>
      </c>
      <c r="AB32" s="21">
        <v>37</v>
      </c>
      <c r="AC32">
        <v>27283</v>
      </c>
      <c r="AD32" t="s">
        <v>71</v>
      </c>
      <c r="AE32" t="s">
        <v>71</v>
      </c>
    </row>
    <row r="33" spans="1:31" x14ac:dyDescent="0.45">
      <c r="A33">
        <v>975859</v>
      </c>
      <c r="B33" t="s">
        <v>292</v>
      </c>
      <c r="C33" t="s">
        <v>58</v>
      </c>
      <c r="D33" t="s">
        <v>293</v>
      </c>
      <c r="E33" t="s">
        <v>294</v>
      </c>
      <c r="F33" t="s">
        <v>295</v>
      </c>
      <c r="G33" t="s">
        <v>296</v>
      </c>
      <c r="H33" t="s">
        <v>297</v>
      </c>
      <c r="I33" t="s">
        <v>64</v>
      </c>
      <c r="J33" t="s">
        <v>298</v>
      </c>
      <c r="L33" t="s">
        <v>299</v>
      </c>
      <c r="M33" t="s">
        <v>300</v>
      </c>
      <c r="O33" t="s">
        <v>301</v>
      </c>
      <c r="P33" t="s">
        <v>302</v>
      </c>
      <c r="S33">
        <v>15386</v>
      </c>
      <c r="T33" t="s">
        <v>98</v>
      </c>
      <c r="U33" t="s">
        <v>70</v>
      </c>
      <c r="W33" s="23">
        <v>18629</v>
      </c>
      <c r="X33" t="s">
        <v>303</v>
      </c>
      <c r="Y33" s="23">
        <v>42114</v>
      </c>
      <c r="Z33" s="23">
        <v>2958465</v>
      </c>
      <c r="AA33" s="23">
        <v>42976</v>
      </c>
      <c r="AB33" s="21">
        <v>37</v>
      </c>
      <c r="AC33">
        <v>54385</v>
      </c>
      <c r="AD33" t="s">
        <v>71</v>
      </c>
      <c r="AE33" t="s">
        <v>71</v>
      </c>
    </row>
    <row r="34" spans="1:31" x14ac:dyDescent="0.45">
      <c r="A34">
        <v>975872</v>
      </c>
      <c r="B34" t="s">
        <v>304</v>
      </c>
      <c r="C34" t="s">
        <v>153</v>
      </c>
      <c r="D34" t="s">
        <v>305</v>
      </c>
      <c r="E34" t="s">
        <v>1</v>
      </c>
      <c r="F34" t="s">
        <v>102</v>
      </c>
      <c r="G34" t="s">
        <v>170</v>
      </c>
      <c r="H34" t="s">
        <v>306</v>
      </c>
      <c r="I34" t="s">
        <v>64</v>
      </c>
      <c r="J34" t="s">
        <v>77</v>
      </c>
      <c r="L34" t="s">
        <v>307</v>
      </c>
      <c r="O34" t="s">
        <v>308</v>
      </c>
      <c r="P34" t="s">
        <v>309</v>
      </c>
      <c r="S34">
        <v>15386</v>
      </c>
      <c r="T34" t="s">
        <v>98</v>
      </c>
      <c r="U34" t="s">
        <v>70</v>
      </c>
      <c r="W34" s="23">
        <v>18629</v>
      </c>
      <c r="X34" t="s">
        <v>310</v>
      </c>
      <c r="Y34" s="23">
        <v>41897</v>
      </c>
      <c r="Z34" s="23">
        <v>2958465</v>
      </c>
      <c r="AA34" s="23">
        <v>42976</v>
      </c>
      <c r="AB34" s="21">
        <v>37</v>
      </c>
      <c r="AC34">
        <v>29081</v>
      </c>
      <c r="AD34" t="s">
        <v>71</v>
      </c>
      <c r="AE34" t="s">
        <v>71</v>
      </c>
    </row>
    <row r="35" spans="1:31" x14ac:dyDescent="0.45">
      <c r="A35">
        <v>976489</v>
      </c>
      <c r="B35" t="s">
        <v>311</v>
      </c>
      <c r="C35" t="s">
        <v>312</v>
      </c>
      <c r="D35" t="s">
        <v>313</v>
      </c>
      <c r="E35" t="s">
        <v>1</v>
      </c>
      <c r="F35" t="s">
        <v>102</v>
      </c>
      <c r="G35" t="s">
        <v>170</v>
      </c>
      <c r="H35" t="s">
        <v>306</v>
      </c>
      <c r="I35" t="s">
        <v>64</v>
      </c>
      <c r="J35" t="s">
        <v>77</v>
      </c>
      <c r="L35" t="s">
        <v>314</v>
      </c>
      <c r="O35" t="s">
        <v>315</v>
      </c>
      <c r="P35" t="s">
        <v>316</v>
      </c>
      <c r="S35">
        <v>15385</v>
      </c>
      <c r="T35" t="s">
        <v>69</v>
      </c>
      <c r="U35" t="s">
        <v>70</v>
      </c>
      <c r="W35" s="23">
        <v>18629</v>
      </c>
      <c r="X35">
        <v>521704387</v>
      </c>
      <c r="Y35" s="23">
        <v>18629</v>
      </c>
      <c r="Z35" s="23">
        <v>2958465</v>
      </c>
      <c r="AA35" s="23">
        <v>42976</v>
      </c>
      <c r="AB35" s="21">
        <v>37</v>
      </c>
      <c r="AC35">
        <v>26386</v>
      </c>
      <c r="AD35" t="s">
        <v>71</v>
      </c>
      <c r="AE35" t="s">
        <v>71</v>
      </c>
    </row>
    <row r="36" spans="1:31" x14ac:dyDescent="0.45">
      <c r="A36">
        <v>977258</v>
      </c>
      <c r="B36" t="s">
        <v>317</v>
      </c>
      <c r="C36" t="s">
        <v>318</v>
      </c>
      <c r="D36" t="s">
        <v>319</v>
      </c>
      <c r="E36" t="s">
        <v>320</v>
      </c>
      <c r="F36" t="s">
        <v>321</v>
      </c>
      <c r="G36" t="s">
        <v>322</v>
      </c>
      <c r="H36" t="s">
        <v>323</v>
      </c>
      <c r="I36" t="s">
        <v>64</v>
      </c>
      <c r="J36" t="s">
        <v>114</v>
      </c>
      <c r="L36" t="s">
        <v>324</v>
      </c>
      <c r="O36" t="s">
        <v>325</v>
      </c>
      <c r="P36" t="s">
        <v>326</v>
      </c>
      <c r="S36">
        <v>15385</v>
      </c>
      <c r="T36" t="s">
        <v>69</v>
      </c>
      <c r="U36" t="s">
        <v>70</v>
      </c>
      <c r="W36" s="23">
        <v>18629</v>
      </c>
      <c r="Y36" s="23">
        <v>42485</v>
      </c>
      <c r="Z36" s="23">
        <v>2958465</v>
      </c>
      <c r="AA36" s="23">
        <v>42976</v>
      </c>
      <c r="AB36" s="21">
        <v>37</v>
      </c>
      <c r="AC36">
        <v>59552</v>
      </c>
      <c r="AD36" t="s">
        <v>71</v>
      </c>
      <c r="AE36" t="s">
        <v>71</v>
      </c>
    </row>
    <row r="37" spans="1:31" x14ac:dyDescent="0.45">
      <c r="A37">
        <v>977612</v>
      </c>
      <c r="B37" t="s">
        <v>327</v>
      </c>
      <c r="C37" t="s">
        <v>211</v>
      </c>
      <c r="D37" t="s">
        <v>328</v>
      </c>
      <c r="E37" t="s">
        <v>320</v>
      </c>
      <c r="F37" t="s">
        <v>329</v>
      </c>
      <c r="G37" t="s">
        <v>330</v>
      </c>
      <c r="H37" t="s">
        <v>331</v>
      </c>
      <c r="I37" t="s">
        <v>64</v>
      </c>
      <c r="J37" t="s">
        <v>332</v>
      </c>
      <c r="L37" t="s">
        <v>333</v>
      </c>
      <c r="O37" t="s">
        <v>334</v>
      </c>
      <c r="P37" t="s">
        <v>335</v>
      </c>
      <c r="Q37" t="s">
        <v>336</v>
      </c>
      <c r="S37">
        <v>15386</v>
      </c>
      <c r="T37" t="s">
        <v>98</v>
      </c>
      <c r="U37" t="s">
        <v>70</v>
      </c>
      <c r="W37" s="23">
        <v>18629</v>
      </c>
      <c r="X37" t="s">
        <v>337</v>
      </c>
      <c r="Y37" s="23">
        <v>41018</v>
      </c>
      <c r="Z37" s="23">
        <v>2958465</v>
      </c>
      <c r="AA37" s="23">
        <v>42976</v>
      </c>
      <c r="AB37" s="21">
        <v>37</v>
      </c>
      <c r="AC37">
        <v>89921</v>
      </c>
      <c r="AD37" t="s">
        <v>71</v>
      </c>
      <c r="AE37" t="s">
        <v>71</v>
      </c>
    </row>
    <row r="38" spans="1:31" x14ac:dyDescent="0.45">
      <c r="A38">
        <v>977618</v>
      </c>
      <c r="B38" t="s">
        <v>338</v>
      </c>
      <c r="C38" t="s">
        <v>58</v>
      </c>
      <c r="D38" t="s">
        <v>339</v>
      </c>
      <c r="E38" t="s">
        <v>1</v>
      </c>
      <c r="F38" t="s">
        <v>102</v>
      </c>
      <c r="G38" t="s">
        <v>103</v>
      </c>
      <c r="H38" t="s">
        <v>340</v>
      </c>
      <c r="I38" t="s">
        <v>130</v>
      </c>
      <c r="J38" t="s">
        <v>156</v>
      </c>
      <c r="L38" t="s">
        <v>341</v>
      </c>
      <c r="O38" t="s">
        <v>342</v>
      </c>
      <c r="P38" t="s">
        <v>343</v>
      </c>
      <c r="S38">
        <v>15386</v>
      </c>
      <c r="T38" t="s">
        <v>98</v>
      </c>
      <c r="U38" t="s">
        <v>70</v>
      </c>
      <c r="W38" s="23">
        <v>18629</v>
      </c>
      <c r="X38" t="s">
        <v>344</v>
      </c>
      <c r="Y38" s="23">
        <v>18629</v>
      </c>
      <c r="Z38" s="23">
        <v>2958465</v>
      </c>
      <c r="AA38" s="23">
        <v>42976</v>
      </c>
      <c r="AB38" s="21">
        <v>37</v>
      </c>
      <c r="AC38">
        <v>24957</v>
      </c>
      <c r="AD38" t="s">
        <v>71</v>
      </c>
      <c r="AE38" t="s">
        <v>71</v>
      </c>
    </row>
    <row r="39" spans="1:31" x14ac:dyDescent="0.45">
      <c r="A39">
        <v>977623</v>
      </c>
      <c r="B39" t="s">
        <v>345</v>
      </c>
      <c r="C39" t="s">
        <v>153</v>
      </c>
      <c r="D39" t="s">
        <v>346</v>
      </c>
      <c r="E39" t="s">
        <v>347</v>
      </c>
      <c r="F39" t="s">
        <v>348</v>
      </c>
      <c r="G39" t="s">
        <v>349</v>
      </c>
      <c r="H39" t="s">
        <v>350</v>
      </c>
      <c r="I39" t="s">
        <v>64</v>
      </c>
      <c r="J39" t="s">
        <v>114</v>
      </c>
      <c r="L39" t="s">
        <v>351</v>
      </c>
      <c r="O39" t="s">
        <v>352</v>
      </c>
      <c r="P39" t="s">
        <v>353</v>
      </c>
      <c r="S39">
        <v>15385</v>
      </c>
      <c r="T39" t="s">
        <v>69</v>
      </c>
      <c r="U39" t="s">
        <v>70</v>
      </c>
      <c r="Y39" s="23">
        <v>42900</v>
      </c>
      <c r="AA39" s="23">
        <v>43075</v>
      </c>
      <c r="AB39" s="21">
        <v>37</v>
      </c>
      <c r="AC39">
        <v>53748</v>
      </c>
      <c r="AD39" t="s">
        <v>71</v>
      </c>
      <c r="AE39" t="s">
        <v>71</v>
      </c>
    </row>
    <row r="40" spans="1:31" x14ac:dyDescent="0.45">
      <c r="A40">
        <v>977623</v>
      </c>
      <c r="B40" t="s">
        <v>345</v>
      </c>
      <c r="C40" t="s">
        <v>153</v>
      </c>
      <c r="D40" t="s">
        <v>346</v>
      </c>
      <c r="E40" t="s">
        <v>347</v>
      </c>
      <c r="F40" t="s">
        <v>348</v>
      </c>
      <c r="G40" t="s">
        <v>349</v>
      </c>
      <c r="H40" t="s">
        <v>350</v>
      </c>
      <c r="I40" t="s">
        <v>64</v>
      </c>
      <c r="J40" t="s">
        <v>114</v>
      </c>
      <c r="L40" t="s">
        <v>351</v>
      </c>
      <c r="O40" t="s">
        <v>352</v>
      </c>
      <c r="P40" t="s">
        <v>353</v>
      </c>
      <c r="S40">
        <v>15386</v>
      </c>
      <c r="T40" t="s">
        <v>98</v>
      </c>
      <c r="U40" t="s">
        <v>70</v>
      </c>
      <c r="Y40" s="23">
        <v>42406</v>
      </c>
      <c r="Z40" s="23">
        <v>42899</v>
      </c>
      <c r="AA40" s="23">
        <v>42976</v>
      </c>
      <c r="AB40" s="21">
        <v>37</v>
      </c>
      <c r="AC40">
        <v>53748</v>
      </c>
      <c r="AD40" t="s">
        <v>71</v>
      </c>
      <c r="AE40" t="s">
        <v>71</v>
      </c>
    </row>
    <row r="41" spans="1:31" x14ac:dyDescent="0.45">
      <c r="A41">
        <v>977625</v>
      </c>
      <c r="B41" t="s">
        <v>354</v>
      </c>
      <c r="C41" t="s">
        <v>153</v>
      </c>
      <c r="D41" t="s">
        <v>355</v>
      </c>
      <c r="E41" t="s">
        <v>320</v>
      </c>
      <c r="F41" t="s">
        <v>356</v>
      </c>
      <c r="G41" t="s">
        <v>357</v>
      </c>
      <c r="H41" t="s">
        <v>358</v>
      </c>
      <c r="I41" t="s">
        <v>64</v>
      </c>
      <c r="J41" t="s">
        <v>359</v>
      </c>
      <c r="S41">
        <v>15385</v>
      </c>
      <c r="T41" t="s">
        <v>69</v>
      </c>
      <c r="U41" t="s">
        <v>70</v>
      </c>
      <c r="Y41" s="23">
        <v>43117</v>
      </c>
      <c r="AA41" s="23">
        <v>43119</v>
      </c>
      <c r="AB41" s="21">
        <v>37</v>
      </c>
      <c r="AC41">
        <v>56935</v>
      </c>
      <c r="AD41" t="s">
        <v>71</v>
      </c>
      <c r="AE41" t="s">
        <v>71</v>
      </c>
    </row>
    <row r="42" spans="1:31" x14ac:dyDescent="0.45">
      <c r="A42">
        <v>977625</v>
      </c>
      <c r="B42" t="s">
        <v>354</v>
      </c>
      <c r="C42" t="s">
        <v>153</v>
      </c>
      <c r="D42" t="s">
        <v>355</v>
      </c>
      <c r="E42" t="s">
        <v>320</v>
      </c>
      <c r="F42" t="s">
        <v>356</v>
      </c>
      <c r="G42" t="s">
        <v>357</v>
      </c>
      <c r="H42" t="s">
        <v>358</v>
      </c>
      <c r="I42" t="s">
        <v>64</v>
      </c>
      <c r="J42" t="s">
        <v>359</v>
      </c>
      <c r="S42">
        <v>15386</v>
      </c>
      <c r="T42" t="s">
        <v>98</v>
      </c>
      <c r="U42" t="s">
        <v>70</v>
      </c>
      <c r="X42" t="s">
        <v>360</v>
      </c>
      <c r="Y42" s="23">
        <v>42679</v>
      </c>
      <c r="Z42" s="23">
        <v>43116</v>
      </c>
      <c r="AA42" s="23">
        <v>42976</v>
      </c>
      <c r="AB42" s="21">
        <v>37</v>
      </c>
      <c r="AC42">
        <v>56935</v>
      </c>
      <c r="AD42" t="s">
        <v>71</v>
      </c>
      <c r="AE42" t="s">
        <v>71</v>
      </c>
    </row>
    <row r="43" spans="1:31" x14ac:dyDescent="0.45">
      <c r="A43">
        <v>977627</v>
      </c>
      <c r="B43" t="s">
        <v>361</v>
      </c>
      <c r="C43" t="s">
        <v>58</v>
      </c>
      <c r="D43" t="s">
        <v>362</v>
      </c>
      <c r="E43" t="s">
        <v>320</v>
      </c>
      <c r="F43" t="s">
        <v>363</v>
      </c>
      <c r="G43" t="s">
        <v>364</v>
      </c>
      <c r="H43" t="s">
        <v>365</v>
      </c>
      <c r="I43" t="s">
        <v>64</v>
      </c>
      <c r="J43" t="s">
        <v>359</v>
      </c>
      <c r="L43" t="s">
        <v>366</v>
      </c>
      <c r="O43" t="s">
        <v>367</v>
      </c>
      <c r="P43" t="s">
        <v>368</v>
      </c>
      <c r="S43">
        <v>15385</v>
      </c>
      <c r="T43" t="s">
        <v>69</v>
      </c>
      <c r="U43" t="s">
        <v>70</v>
      </c>
      <c r="W43" s="23">
        <v>18629</v>
      </c>
      <c r="X43">
        <v>503771112</v>
      </c>
      <c r="Y43" s="23">
        <v>18629</v>
      </c>
      <c r="Z43" s="23">
        <v>2958465</v>
      </c>
      <c r="AA43" s="23">
        <v>42976</v>
      </c>
      <c r="AB43" s="21">
        <v>37</v>
      </c>
      <c r="AC43">
        <v>49297</v>
      </c>
      <c r="AD43" t="s">
        <v>71</v>
      </c>
      <c r="AE43" t="s">
        <v>71</v>
      </c>
    </row>
    <row r="44" spans="1:31" x14ac:dyDescent="0.45">
      <c r="A44">
        <v>977664</v>
      </c>
      <c r="B44" t="s">
        <v>369</v>
      </c>
      <c r="C44" t="s">
        <v>90</v>
      </c>
      <c r="D44" t="s">
        <v>370</v>
      </c>
      <c r="E44" t="s">
        <v>320</v>
      </c>
      <c r="F44" t="s">
        <v>371</v>
      </c>
      <c r="G44" t="s">
        <v>372</v>
      </c>
      <c r="H44" t="s">
        <v>373</v>
      </c>
      <c r="I44" t="s">
        <v>64</v>
      </c>
      <c r="J44" t="s">
        <v>359</v>
      </c>
      <c r="L44" t="s">
        <v>374</v>
      </c>
      <c r="M44" t="s">
        <v>375</v>
      </c>
      <c r="O44" t="s">
        <v>334</v>
      </c>
      <c r="P44" t="s">
        <v>376</v>
      </c>
      <c r="Q44">
        <v>1242465204</v>
      </c>
      <c r="S44">
        <v>15386</v>
      </c>
      <c r="T44" t="s">
        <v>98</v>
      </c>
      <c r="U44" t="s">
        <v>70</v>
      </c>
      <c r="W44" s="23">
        <v>18629</v>
      </c>
      <c r="X44" t="s">
        <v>377</v>
      </c>
      <c r="Y44" s="23">
        <v>42290</v>
      </c>
      <c r="Z44" s="23">
        <v>2958465</v>
      </c>
      <c r="AA44" s="23">
        <v>42976</v>
      </c>
      <c r="AB44" s="21">
        <v>37</v>
      </c>
      <c r="AC44">
        <v>86746</v>
      </c>
      <c r="AD44" t="s">
        <v>71</v>
      </c>
      <c r="AE44" t="s">
        <v>71</v>
      </c>
    </row>
    <row r="45" spans="1:31" x14ac:dyDescent="0.45">
      <c r="A45">
        <v>977829</v>
      </c>
      <c r="B45" t="s">
        <v>378</v>
      </c>
      <c r="C45" t="s">
        <v>379</v>
      </c>
      <c r="D45" t="s">
        <v>380</v>
      </c>
      <c r="E45" t="s">
        <v>1</v>
      </c>
      <c r="F45" t="s">
        <v>102</v>
      </c>
      <c r="G45" t="s">
        <v>103</v>
      </c>
      <c r="H45" t="s">
        <v>104</v>
      </c>
      <c r="I45" t="s">
        <v>64</v>
      </c>
      <c r="J45" t="s">
        <v>105</v>
      </c>
      <c r="L45" t="s">
        <v>381</v>
      </c>
      <c r="O45" t="s">
        <v>382</v>
      </c>
      <c r="P45" t="s">
        <v>383</v>
      </c>
      <c r="S45">
        <v>15386</v>
      </c>
      <c r="T45" t="s">
        <v>98</v>
      </c>
      <c r="U45" t="s">
        <v>70</v>
      </c>
      <c r="W45" s="23">
        <v>18629</v>
      </c>
      <c r="X45" t="s">
        <v>384</v>
      </c>
      <c r="Y45" s="23">
        <v>42276</v>
      </c>
      <c r="Z45" s="23">
        <v>2958465</v>
      </c>
      <c r="AA45" s="23">
        <v>42976</v>
      </c>
      <c r="AB45" s="21">
        <v>37</v>
      </c>
      <c r="AC45">
        <v>26836</v>
      </c>
      <c r="AD45" t="s">
        <v>71</v>
      </c>
      <c r="AE45" t="s">
        <v>71</v>
      </c>
    </row>
    <row r="46" spans="1:31" x14ac:dyDescent="0.45">
      <c r="A46">
        <v>977904</v>
      </c>
      <c r="B46" t="s">
        <v>385</v>
      </c>
      <c r="C46" t="s">
        <v>211</v>
      </c>
      <c r="D46" t="s">
        <v>386</v>
      </c>
      <c r="E46" t="s">
        <v>1</v>
      </c>
      <c r="F46" t="s">
        <v>102</v>
      </c>
      <c r="G46" t="s">
        <v>103</v>
      </c>
      <c r="H46" t="s">
        <v>104</v>
      </c>
      <c r="I46" t="s">
        <v>64</v>
      </c>
      <c r="J46" t="s">
        <v>387</v>
      </c>
      <c r="L46" t="s">
        <v>388</v>
      </c>
      <c r="O46" t="s">
        <v>389</v>
      </c>
      <c r="P46" t="s">
        <v>390</v>
      </c>
      <c r="Q46" t="s">
        <v>391</v>
      </c>
      <c r="S46">
        <v>15386</v>
      </c>
      <c r="T46" t="s">
        <v>98</v>
      </c>
      <c r="U46" t="s">
        <v>70</v>
      </c>
      <c r="W46" s="23">
        <v>18629</v>
      </c>
      <c r="X46" t="s">
        <v>392</v>
      </c>
      <c r="Y46" s="23">
        <v>41196</v>
      </c>
      <c r="Z46" s="23">
        <v>2958465</v>
      </c>
      <c r="AA46" s="23">
        <v>42976</v>
      </c>
      <c r="AB46" s="21">
        <v>37</v>
      </c>
      <c r="AC46">
        <v>25531</v>
      </c>
      <c r="AD46" t="s">
        <v>71</v>
      </c>
      <c r="AE46" t="s">
        <v>71</v>
      </c>
    </row>
    <row r="47" spans="1:31" x14ac:dyDescent="0.45">
      <c r="A47">
        <v>977984</v>
      </c>
      <c r="B47" t="s">
        <v>393</v>
      </c>
      <c r="C47" t="s">
        <v>83</v>
      </c>
      <c r="D47" t="s">
        <v>394</v>
      </c>
      <c r="E47" t="s">
        <v>1</v>
      </c>
      <c r="F47" t="s">
        <v>102</v>
      </c>
      <c r="G47" t="s">
        <v>103</v>
      </c>
      <c r="H47" t="s">
        <v>194</v>
      </c>
      <c r="I47" t="s">
        <v>130</v>
      </c>
      <c r="J47" t="s">
        <v>105</v>
      </c>
      <c r="L47" t="s">
        <v>395</v>
      </c>
      <c r="O47" t="s">
        <v>196</v>
      </c>
      <c r="P47" t="s">
        <v>396</v>
      </c>
      <c r="S47">
        <v>15386</v>
      </c>
      <c r="T47" t="s">
        <v>98</v>
      </c>
      <c r="U47" t="s">
        <v>70</v>
      </c>
      <c r="W47" s="23">
        <v>18629</v>
      </c>
      <c r="X47" t="s">
        <v>397</v>
      </c>
      <c r="Y47" s="23">
        <v>42726</v>
      </c>
      <c r="Z47" s="23">
        <v>2958465</v>
      </c>
      <c r="AA47" s="23">
        <v>42976</v>
      </c>
      <c r="AB47" s="21">
        <v>37</v>
      </c>
      <c r="AC47">
        <v>26836</v>
      </c>
      <c r="AD47" t="s">
        <v>71</v>
      </c>
      <c r="AE47" t="s">
        <v>71</v>
      </c>
    </row>
    <row r="48" spans="1:31" x14ac:dyDescent="0.45">
      <c r="A48">
        <v>978150</v>
      </c>
      <c r="B48" t="s">
        <v>398</v>
      </c>
      <c r="C48" t="s">
        <v>399</v>
      </c>
      <c r="D48" t="s">
        <v>400</v>
      </c>
      <c r="E48" t="s">
        <v>1</v>
      </c>
      <c r="F48" t="s">
        <v>74</v>
      </c>
      <c r="G48" t="s">
        <v>401</v>
      </c>
      <c r="H48" t="s">
        <v>402</v>
      </c>
      <c r="I48" t="s">
        <v>130</v>
      </c>
      <c r="J48" t="s">
        <v>105</v>
      </c>
      <c r="L48" t="s">
        <v>403</v>
      </c>
      <c r="O48" t="s">
        <v>122</v>
      </c>
      <c r="P48" t="s">
        <v>404</v>
      </c>
      <c r="Q48">
        <v>1903533811</v>
      </c>
      <c r="S48">
        <v>15386</v>
      </c>
      <c r="T48" t="s">
        <v>98</v>
      </c>
      <c r="U48" t="s">
        <v>70</v>
      </c>
      <c r="W48" s="23">
        <v>18629</v>
      </c>
      <c r="X48" t="s">
        <v>405</v>
      </c>
      <c r="Y48" s="23">
        <v>40652</v>
      </c>
      <c r="Z48" s="23">
        <v>2958465</v>
      </c>
      <c r="AA48" s="23">
        <v>42976</v>
      </c>
      <c r="AB48" s="21">
        <v>37</v>
      </c>
      <c r="AC48">
        <v>26836</v>
      </c>
      <c r="AD48" t="s">
        <v>71</v>
      </c>
      <c r="AE48" t="s">
        <v>71</v>
      </c>
    </row>
    <row r="49" spans="1:31" x14ac:dyDescent="0.45">
      <c r="A49">
        <v>978182</v>
      </c>
      <c r="B49" t="s">
        <v>406</v>
      </c>
      <c r="C49" t="s">
        <v>312</v>
      </c>
      <c r="D49" t="s">
        <v>407</v>
      </c>
      <c r="E49" t="s">
        <v>1</v>
      </c>
      <c r="F49" t="s">
        <v>102</v>
      </c>
      <c r="G49" t="s">
        <v>170</v>
      </c>
      <c r="H49" t="s">
        <v>408</v>
      </c>
      <c r="I49" t="s">
        <v>64</v>
      </c>
      <c r="J49" t="s">
        <v>77</v>
      </c>
      <c r="L49" t="s">
        <v>409</v>
      </c>
      <c r="M49" t="s">
        <v>410</v>
      </c>
      <c r="O49" t="s">
        <v>80</v>
      </c>
      <c r="P49" t="s">
        <v>411</v>
      </c>
      <c r="Q49" t="s">
        <v>412</v>
      </c>
      <c r="S49">
        <v>15385</v>
      </c>
      <c r="T49" t="s">
        <v>69</v>
      </c>
      <c r="U49" t="s">
        <v>70</v>
      </c>
      <c r="W49" s="23">
        <v>18629</v>
      </c>
      <c r="X49">
        <v>509434213</v>
      </c>
      <c r="Y49" s="23">
        <v>40983</v>
      </c>
      <c r="Z49" s="23">
        <v>2958465</v>
      </c>
      <c r="AA49" s="23">
        <v>42976</v>
      </c>
      <c r="AB49" s="21">
        <v>37</v>
      </c>
      <c r="AC49">
        <v>32932</v>
      </c>
      <c r="AD49" t="s">
        <v>71</v>
      </c>
      <c r="AE49" t="s">
        <v>71</v>
      </c>
    </row>
    <row r="50" spans="1:31" x14ac:dyDescent="0.45">
      <c r="A50">
        <v>978192</v>
      </c>
      <c r="B50" t="s">
        <v>413</v>
      </c>
      <c r="C50" t="s">
        <v>399</v>
      </c>
      <c r="D50" t="s">
        <v>414</v>
      </c>
      <c r="E50" t="s">
        <v>0</v>
      </c>
      <c r="F50" t="s">
        <v>415</v>
      </c>
      <c r="G50" t="s">
        <v>416</v>
      </c>
      <c r="H50" t="s">
        <v>417</v>
      </c>
      <c r="I50" t="s">
        <v>64</v>
      </c>
      <c r="J50" t="s">
        <v>332</v>
      </c>
      <c r="L50" t="s">
        <v>418</v>
      </c>
      <c r="M50" t="s">
        <v>419</v>
      </c>
      <c r="O50" t="s">
        <v>420</v>
      </c>
      <c r="P50" t="s">
        <v>421</v>
      </c>
      <c r="Q50">
        <v>1285861246</v>
      </c>
      <c r="S50">
        <v>15386</v>
      </c>
      <c r="T50" t="s">
        <v>98</v>
      </c>
      <c r="U50" t="s">
        <v>70</v>
      </c>
      <c r="W50" s="23">
        <v>18629</v>
      </c>
      <c r="X50" t="s">
        <v>422</v>
      </c>
      <c r="Y50" s="23">
        <v>39610</v>
      </c>
      <c r="Z50" s="23">
        <v>2958465</v>
      </c>
      <c r="AA50" s="23">
        <v>42976</v>
      </c>
      <c r="AB50" s="21">
        <v>37</v>
      </c>
      <c r="AC50">
        <v>72955</v>
      </c>
      <c r="AD50" t="s">
        <v>71</v>
      </c>
      <c r="AE50" t="s">
        <v>71</v>
      </c>
    </row>
    <row r="51" spans="1:31" x14ac:dyDescent="0.45">
      <c r="A51">
        <v>978243</v>
      </c>
      <c r="B51" t="s">
        <v>423</v>
      </c>
      <c r="C51" t="s">
        <v>83</v>
      </c>
      <c r="D51" t="s">
        <v>424</v>
      </c>
      <c r="E51" t="s">
        <v>320</v>
      </c>
      <c r="F51" t="s">
        <v>356</v>
      </c>
      <c r="G51" t="s">
        <v>425</v>
      </c>
      <c r="H51" t="s">
        <v>426</v>
      </c>
      <c r="I51" t="s">
        <v>64</v>
      </c>
      <c r="J51" t="s">
        <v>359</v>
      </c>
      <c r="K51" t="s">
        <v>427</v>
      </c>
      <c r="L51" t="s">
        <v>428</v>
      </c>
      <c r="O51" t="s">
        <v>429</v>
      </c>
      <c r="P51" t="s">
        <v>430</v>
      </c>
      <c r="S51">
        <v>15385</v>
      </c>
      <c r="T51" t="s">
        <v>69</v>
      </c>
      <c r="U51" t="s">
        <v>70</v>
      </c>
      <c r="W51" s="23">
        <v>18629</v>
      </c>
      <c r="Y51" s="23">
        <v>18629</v>
      </c>
      <c r="Z51" s="23">
        <v>2958465</v>
      </c>
      <c r="AA51" s="23">
        <v>42976</v>
      </c>
      <c r="AB51" s="21">
        <v>37</v>
      </c>
      <c r="AC51">
        <v>53500</v>
      </c>
      <c r="AD51" t="s">
        <v>71</v>
      </c>
      <c r="AE51" t="s">
        <v>71</v>
      </c>
    </row>
    <row r="52" spans="1:31" x14ac:dyDescent="0.45">
      <c r="A52">
        <v>978275</v>
      </c>
      <c r="B52" t="s">
        <v>431</v>
      </c>
      <c r="C52" t="s">
        <v>83</v>
      </c>
      <c r="D52" t="s">
        <v>432</v>
      </c>
      <c r="E52" t="s">
        <v>433</v>
      </c>
      <c r="F52" t="s">
        <v>434</v>
      </c>
      <c r="G52" t="s">
        <v>435</v>
      </c>
      <c r="H52" t="s">
        <v>436</v>
      </c>
      <c r="I52" t="s">
        <v>64</v>
      </c>
      <c r="J52" t="s">
        <v>437</v>
      </c>
      <c r="L52" t="s">
        <v>438</v>
      </c>
      <c r="M52" t="s">
        <v>439</v>
      </c>
      <c r="O52" t="s">
        <v>440</v>
      </c>
      <c r="P52" t="s">
        <v>441</v>
      </c>
      <c r="S52">
        <v>15386</v>
      </c>
      <c r="T52" t="s">
        <v>98</v>
      </c>
      <c r="U52" t="s">
        <v>70</v>
      </c>
      <c r="W52" s="23">
        <v>18629</v>
      </c>
      <c r="X52" t="s">
        <v>442</v>
      </c>
      <c r="Y52" s="23">
        <v>42903</v>
      </c>
      <c r="Z52" s="23">
        <v>2958465</v>
      </c>
      <c r="AA52" s="23">
        <v>42976</v>
      </c>
      <c r="AB52" s="21">
        <v>37</v>
      </c>
      <c r="AC52">
        <v>55000</v>
      </c>
      <c r="AD52" t="s">
        <v>71</v>
      </c>
      <c r="AE52" t="s">
        <v>71</v>
      </c>
    </row>
    <row r="53" spans="1:31" x14ac:dyDescent="0.45">
      <c r="A53">
        <v>978615</v>
      </c>
      <c r="B53" t="s">
        <v>443</v>
      </c>
      <c r="C53" t="s">
        <v>90</v>
      </c>
      <c r="D53" t="s">
        <v>444</v>
      </c>
      <c r="E53" t="s">
        <v>1</v>
      </c>
      <c r="F53" t="s">
        <v>127</v>
      </c>
      <c r="G53" t="s">
        <v>128</v>
      </c>
      <c r="H53" t="s">
        <v>445</v>
      </c>
      <c r="I53" t="s">
        <v>64</v>
      </c>
      <c r="J53" t="s">
        <v>180</v>
      </c>
      <c r="L53" t="s">
        <v>446</v>
      </c>
      <c r="O53" t="s">
        <v>447</v>
      </c>
      <c r="P53" t="s">
        <v>448</v>
      </c>
      <c r="Q53">
        <v>1737354614</v>
      </c>
      <c r="S53">
        <v>15385</v>
      </c>
      <c r="T53" t="s">
        <v>69</v>
      </c>
      <c r="U53" t="s">
        <v>70</v>
      </c>
      <c r="W53" s="23">
        <v>18629</v>
      </c>
      <c r="Y53" s="23">
        <v>41967</v>
      </c>
      <c r="Z53" s="23">
        <v>2958465</v>
      </c>
      <c r="AA53" s="23">
        <v>42976</v>
      </c>
      <c r="AB53" s="21">
        <v>37</v>
      </c>
      <c r="AC53">
        <v>55848</v>
      </c>
      <c r="AD53" t="s">
        <v>71</v>
      </c>
      <c r="AE53" t="s">
        <v>71</v>
      </c>
    </row>
    <row r="54" spans="1:31" x14ac:dyDescent="0.45">
      <c r="A54">
        <v>978697</v>
      </c>
      <c r="B54" t="s">
        <v>449</v>
      </c>
      <c r="C54" t="s">
        <v>58</v>
      </c>
      <c r="D54" t="s">
        <v>73</v>
      </c>
      <c r="E54" t="s">
        <v>1</v>
      </c>
      <c r="F54" t="s">
        <v>74</v>
      </c>
      <c r="G54" t="s">
        <v>75</v>
      </c>
      <c r="H54" t="s">
        <v>450</v>
      </c>
      <c r="I54" t="s">
        <v>64</v>
      </c>
      <c r="J54" t="s">
        <v>77</v>
      </c>
      <c r="L54" t="s">
        <v>451</v>
      </c>
      <c r="M54" t="s">
        <v>452</v>
      </c>
      <c r="O54" t="s">
        <v>80</v>
      </c>
      <c r="P54" t="s">
        <v>453</v>
      </c>
      <c r="Q54">
        <v>2035839261</v>
      </c>
      <c r="S54">
        <v>15385</v>
      </c>
      <c r="T54" t="s">
        <v>69</v>
      </c>
      <c r="U54" t="s">
        <v>70</v>
      </c>
      <c r="W54" s="23">
        <v>18629</v>
      </c>
      <c r="Y54" s="23">
        <v>18629</v>
      </c>
      <c r="Z54" s="23">
        <v>2958465</v>
      </c>
      <c r="AA54" s="23">
        <v>42976</v>
      </c>
      <c r="AB54" s="21">
        <v>37</v>
      </c>
      <c r="AC54">
        <v>25483</v>
      </c>
      <c r="AD54" t="s">
        <v>71</v>
      </c>
      <c r="AE54" t="s">
        <v>71</v>
      </c>
    </row>
    <row r="55" spans="1:31" x14ac:dyDescent="0.45">
      <c r="A55">
        <v>978759</v>
      </c>
      <c r="B55" t="s">
        <v>454</v>
      </c>
      <c r="C55" t="s">
        <v>90</v>
      </c>
      <c r="D55" t="s">
        <v>455</v>
      </c>
      <c r="E55" t="s">
        <v>0</v>
      </c>
      <c r="F55" t="s">
        <v>456</v>
      </c>
      <c r="G55" t="s">
        <v>457</v>
      </c>
      <c r="H55" t="s">
        <v>458</v>
      </c>
      <c r="I55" t="s">
        <v>64</v>
      </c>
      <c r="J55" t="s">
        <v>459</v>
      </c>
      <c r="L55" t="s">
        <v>460</v>
      </c>
      <c r="M55" t="s">
        <v>461</v>
      </c>
      <c r="N55" t="s">
        <v>462</v>
      </c>
      <c r="O55" t="s">
        <v>80</v>
      </c>
      <c r="P55" t="s">
        <v>463</v>
      </c>
      <c r="S55">
        <v>15386</v>
      </c>
      <c r="T55" t="s">
        <v>98</v>
      </c>
      <c r="U55" t="s">
        <v>70</v>
      </c>
      <c r="W55" s="23">
        <v>18629</v>
      </c>
      <c r="X55" t="s">
        <v>464</v>
      </c>
      <c r="Y55" s="23">
        <v>42746</v>
      </c>
      <c r="Z55" s="23">
        <v>2958465</v>
      </c>
      <c r="AA55" s="23">
        <v>42976</v>
      </c>
      <c r="AB55" s="21">
        <v>37</v>
      </c>
      <c r="AC55">
        <v>60287</v>
      </c>
      <c r="AD55" t="s">
        <v>71</v>
      </c>
      <c r="AE55" t="s">
        <v>71</v>
      </c>
    </row>
    <row r="56" spans="1:31" x14ac:dyDescent="0.45">
      <c r="A56">
        <v>978936</v>
      </c>
      <c r="B56" t="s">
        <v>465</v>
      </c>
      <c r="C56" t="s">
        <v>399</v>
      </c>
      <c r="D56" t="s">
        <v>466</v>
      </c>
      <c r="E56" t="s">
        <v>467</v>
      </c>
      <c r="F56" t="s">
        <v>468</v>
      </c>
      <c r="G56" t="s">
        <v>469</v>
      </c>
      <c r="H56" t="s">
        <v>470</v>
      </c>
      <c r="I56" t="s">
        <v>64</v>
      </c>
      <c r="J56" t="s">
        <v>114</v>
      </c>
      <c r="L56" t="s">
        <v>471</v>
      </c>
      <c r="O56" t="s">
        <v>80</v>
      </c>
      <c r="P56" t="s">
        <v>472</v>
      </c>
      <c r="S56">
        <v>15385</v>
      </c>
      <c r="T56" t="s">
        <v>69</v>
      </c>
      <c r="U56" t="s">
        <v>70</v>
      </c>
      <c r="Y56" s="23">
        <v>43150</v>
      </c>
      <c r="AA56" s="23">
        <v>43174</v>
      </c>
      <c r="AB56" s="21">
        <v>37</v>
      </c>
      <c r="AC56">
        <v>110000</v>
      </c>
      <c r="AD56" t="s">
        <v>71</v>
      </c>
      <c r="AE56" t="s">
        <v>71</v>
      </c>
    </row>
    <row r="57" spans="1:31" x14ac:dyDescent="0.45">
      <c r="A57">
        <v>978936</v>
      </c>
      <c r="B57" t="s">
        <v>465</v>
      </c>
      <c r="C57" t="s">
        <v>399</v>
      </c>
      <c r="D57" t="s">
        <v>466</v>
      </c>
      <c r="E57" t="s">
        <v>467</v>
      </c>
      <c r="F57" t="s">
        <v>468</v>
      </c>
      <c r="G57" t="s">
        <v>469</v>
      </c>
      <c r="H57" t="s">
        <v>470</v>
      </c>
      <c r="I57" t="s">
        <v>64</v>
      </c>
      <c r="J57" t="s">
        <v>114</v>
      </c>
      <c r="L57" t="s">
        <v>471</v>
      </c>
      <c r="O57" t="s">
        <v>80</v>
      </c>
      <c r="P57" t="s">
        <v>472</v>
      </c>
      <c r="S57">
        <v>15386</v>
      </c>
      <c r="T57" t="s">
        <v>98</v>
      </c>
      <c r="U57" t="s">
        <v>70</v>
      </c>
      <c r="X57" t="s">
        <v>473</v>
      </c>
      <c r="Y57" s="23">
        <v>42649</v>
      </c>
      <c r="Z57" s="23">
        <v>43150</v>
      </c>
      <c r="AA57" s="23">
        <v>43090</v>
      </c>
      <c r="AB57" s="21">
        <v>37</v>
      </c>
      <c r="AC57">
        <v>110000</v>
      </c>
      <c r="AD57" t="s">
        <v>71</v>
      </c>
      <c r="AE57" t="s">
        <v>71</v>
      </c>
    </row>
    <row r="58" spans="1:31" x14ac:dyDescent="0.45">
      <c r="A58">
        <v>978936</v>
      </c>
      <c r="B58" t="s">
        <v>465</v>
      </c>
      <c r="C58" t="s">
        <v>399</v>
      </c>
      <c r="D58" t="s">
        <v>466</v>
      </c>
      <c r="E58" t="s">
        <v>467</v>
      </c>
      <c r="F58" t="s">
        <v>468</v>
      </c>
      <c r="G58" t="s">
        <v>469</v>
      </c>
      <c r="H58" t="s">
        <v>470</v>
      </c>
      <c r="I58" t="s">
        <v>64</v>
      </c>
      <c r="J58" t="s">
        <v>114</v>
      </c>
      <c r="L58" t="s">
        <v>471</v>
      </c>
      <c r="O58" t="s">
        <v>80</v>
      </c>
      <c r="P58" t="s">
        <v>472</v>
      </c>
      <c r="S58">
        <v>15407</v>
      </c>
      <c r="T58" t="s">
        <v>474</v>
      </c>
      <c r="U58" t="s">
        <v>70</v>
      </c>
      <c r="V58" s="23">
        <v>42840</v>
      </c>
      <c r="W58" s="23">
        <v>43172</v>
      </c>
      <c r="X58" t="s">
        <v>475</v>
      </c>
      <c r="Y58" s="23">
        <v>42076</v>
      </c>
      <c r="Z58" s="23">
        <v>43172</v>
      </c>
      <c r="AA58" s="23">
        <v>42976</v>
      </c>
      <c r="AB58" s="21">
        <v>37</v>
      </c>
      <c r="AC58">
        <v>110000</v>
      </c>
      <c r="AD58" t="s">
        <v>71</v>
      </c>
      <c r="AE58" t="s">
        <v>71</v>
      </c>
    </row>
    <row r="59" spans="1:31" x14ac:dyDescent="0.45">
      <c r="A59">
        <v>978985</v>
      </c>
      <c r="B59" t="s">
        <v>476</v>
      </c>
      <c r="C59" t="s">
        <v>256</v>
      </c>
      <c r="D59" t="s">
        <v>477</v>
      </c>
      <c r="E59" t="s">
        <v>1</v>
      </c>
      <c r="F59" t="s">
        <v>102</v>
      </c>
      <c r="G59" t="s">
        <v>103</v>
      </c>
      <c r="H59" t="s">
        <v>478</v>
      </c>
      <c r="I59" t="s">
        <v>64</v>
      </c>
      <c r="J59" t="s">
        <v>156</v>
      </c>
      <c r="L59" t="s">
        <v>479</v>
      </c>
      <c r="M59" t="s">
        <v>480</v>
      </c>
      <c r="O59" t="s">
        <v>342</v>
      </c>
      <c r="P59" t="s">
        <v>481</v>
      </c>
      <c r="S59">
        <v>15386</v>
      </c>
      <c r="T59" t="s">
        <v>98</v>
      </c>
      <c r="U59" t="s">
        <v>70</v>
      </c>
      <c r="W59" s="23">
        <v>18629</v>
      </c>
      <c r="X59" t="s">
        <v>482</v>
      </c>
      <c r="Y59" s="23">
        <v>42283</v>
      </c>
      <c r="Z59" s="23">
        <v>2958465</v>
      </c>
      <c r="AA59" s="23">
        <v>42976</v>
      </c>
      <c r="AB59" s="21">
        <v>37</v>
      </c>
      <c r="AC59">
        <v>33376</v>
      </c>
      <c r="AD59" t="s">
        <v>71</v>
      </c>
      <c r="AE59" t="s">
        <v>71</v>
      </c>
    </row>
    <row r="60" spans="1:31" x14ac:dyDescent="0.45">
      <c r="A60">
        <v>979069</v>
      </c>
      <c r="B60" t="s">
        <v>483</v>
      </c>
      <c r="C60" t="s">
        <v>484</v>
      </c>
      <c r="D60" t="s">
        <v>485</v>
      </c>
      <c r="E60" t="s">
        <v>0</v>
      </c>
      <c r="F60" t="s">
        <v>415</v>
      </c>
      <c r="G60" t="s">
        <v>416</v>
      </c>
      <c r="H60" t="s">
        <v>486</v>
      </c>
      <c r="I60" t="s">
        <v>64</v>
      </c>
      <c r="J60" t="s">
        <v>487</v>
      </c>
      <c r="L60" t="s">
        <v>488</v>
      </c>
      <c r="M60" t="s">
        <v>489</v>
      </c>
      <c r="O60" t="s">
        <v>490</v>
      </c>
      <c r="P60" t="s">
        <v>491</v>
      </c>
      <c r="S60">
        <v>15385</v>
      </c>
      <c r="T60" t="s">
        <v>69</v>
      </c>
      <c r="U60" t="s">
        <v>70</v>
      </c>
      <c r="W60" s="23">
        <v>18629</v>
      </c>
      <c r="Y60" s="23">
        <v>18629</v>
      </c>
      <c r="Z60" s="23">
        <v>2958465</v>
      </c>
      <c r="AA60" s="23">
        <v>42976</v>
      </c>
      <c r="AB60" s="21">
        <v>37</v>
      </c>
      <c r="AC60">
        <v>50248</v>
      </c>
      <c r="AD60" t="s">
        <v>71</v>
      </c>
      <c r="AE60" t="s">
        <v>71</v>
      </c>
    </row>
    <row r="61" spans="1:31" x14ac:dyDescent="0.45">
      <c r="A61">
        <v>979188</v>
      </c>
      <c r="B61" t="s">
        <v>492</v>
      </c>
      <c r="C61" t="s">
        <v>278</v>
      </c>
      <c r="D61" t="s">
        <v>493</v>
      </c>
      <c r="E61" t="s">
        <v>1</v>
      </c>
      <c r="F61" t="s">
        <v>102</v>
      </c>
      <c r="G61" t="s">
        <v>258</v>
      </c>
      <c r="H61" t="s">
        <v>494</v>
      </c>
      <c r="I61" t="s">
        <v>64</v>
      </c>
      <c r="J61" t="s">
        <v>156</v>
      </c>
      <c r="L61" t="s">
        <v>495</v>
      </c>
      <c r="O61" t="s">
        <v>159</v>
      </c>
      <c r="P61" t="s">
        <v>496</v>
      </c>
      <c r="Q61">
        <v>1915653279</v>
      </c>
      <c r="S61">
        <v>15385</v>
      </c>
      <c r="T61" t="s">
        <v>69</v>
      </c>
      <c r="U61" t="s">
        <v>70</v>
      </c>
      <c r="W61" s="23">
        <v>18629</v>
      </c>
      <c r="Y61" s="23">
        <v>18629</v>
      </c>
      <c r="Z61" s="23">
        <v>2958465</v>
      </c>
      <c r="AA61" s="23">
        <v>42976</v>
      </c>
      <c r="AB61" s="21">
        <v>37</v>
      </c>
      <c r="AC61">
        <v>36800</v>
      </c>
      <c r="AD61" t="s">
        <v>71</v>
      </c>
      <c r="AE61" t="s">
        <v>71</v>
      </c>
    </row>
    <row r="62" spans="1:31" x14ac:dyDescent="0.45">
      <c r="A62">
        <v>979267</v>
      </c>
      <c r="B62" t="s">
        <v>497</v>
      </c>
      <c r="C62" t="s">
        <v>90</v>
      </c>
      <c r="D62" t="s">
        <v>498</v>
      </c>
      <c r="E62" t="s">
        <v>0</v>
      </c>
      <c r="F62" t="s">
        <v>415</v>
      </c>
      <c r="G62" t="s">
        <v>499</v>
      </c>
      <c r="H62" t="s">
        <v>500</v>
      </c>
      <c r="I62" t="s">
        <v>64</v>
      </c>
      <c r="J62" t="s">
        <v>501</v>
      </c>
      <c r="L62" t="s">
        <v>502</v>
      </c>
      <c r="M62" t="s">
        <v>503</v>
      </c>
      <c r="O62" t="s">
        <v>504</v>
      </c>
      <c r="P62" t="s">
        <v>505</v>
      </c>
      <c r="Q62">
        <v>1278652390</v>
      </c>
      <c r="S62">
        <v>15385</v>
      </c>
      <c r="T62" t="s">
        <v>69</v>
      </c>
      <c r="U62" t="s">
        <v>70</v>
      </c>
      <c r="W62" s="23">
        <v>18629</v>
      </c>
      <c r="Y62" s="23">
        <v>42765</v>
      </c>
      <c r="Z62" s="23">
        <v>2958465</v>
      </c>
      <c r="AA62" s="23">
        <v>42976</v>
      </c>
      <c r="AB62" s="21">
        <v>37</v>
      </c>
      <c r="AC62">
        <v>50731</v>
      </c>
      <c r="AD62" t="s">
        <v>71</v>
      </c>
      <c r="AE62" t="s">
        <v>71</v>
      </c>
    </row>
    <row r="63" spans="1:31" x14ac:dyDescent="0.45">
      <c r="A63">
        <v>979316</v>
      </c>
      <c r="B63" t="s">
        <v>506</v>
      </c>
      <c r="C63" t="s">
        <v>507</v>
      </c>
      <c r="D63" t="s">
        <v>508</v>
      </c>
      <c r="E63" t="s">
        <v>1</v>
      </c>
      <c r="F63" t="s">
        <v>509</v>
      </c>
      <c r="G63" t="s">
        <v>510</v>
      </c>
      <c r="H63" t="s">
        <v>511</v>
      </c>
      <c r="I63" t="s">
        <v>130</v>
      </c>
      <c r="J63" t="s">
        <v>131</v>
      </c>
      <c r="L63" t="s">
        <v>512</v>
      </c>
      <c r="O63" t="s">
        <v>133</v>
      </c>
      <c r="P63" t="s">
        <v>513</v>
      </c>
      <c r="S63">
        <v>15385</v>
      </c>
      <c r="T63" t="s">
        <v>69</v>
      </c>
      <c r="U63" t="s">
        <v>70</v>
      </c>
      <c r="Y63" s="23">
        <v>43279</v>
      </c>
      <c r="AA63" s="23">
        <v>43292</v>
      </c>
      <c r="AB63" s="21">
        <v>37</v>
      </c>
      <c r="AC63">
        <v>39000</v>
      </c>
      <c r="AD63" t="s">
        <v>71</v>
      </c>
      <c r="AE63" t="s">
        <v>71</v>
      </c>
    </row>
    <row r="64" spans="1:31" x14ac:dyDescent="0.45">
      <c r="A64">
        <v>979316</v>
      </c>
      <c r="B64" t="s">
        <v>506</v>
      </c>
      <c r="C64" t="s">
        <v>507</v>
      </c>
      <c r="D64" t="s">
        <v>508</v>
      </c>
      <c r="E64" t="s">
        <v>1</v>
      </c>
      <c r="F64" t="s">
        <v>509</v>
      </c>
      <c r="G64" t="s">
        <v>510</v>
      </c>
      <c r="H64" t="s">
        <v>511</v>
      </c>
      <c r="I64" t="s">
        <v>130</v>
      </c>
      <c r="J64" t="s">
        <v>131</v>
      </c>
      <c r="L64" t="s">
        <v>512</v>
      </c>
      <c r="O64" t="s">
        <v>133</v>
      </c>
      <c r="P64" t="s">
        <v>513</v>
      </c>
      <c r="S64">
        <v>15386</v>
      </c>
      <c r="T64" t="s">
        <v>98</v>
      </c>
      <c r="U64" t="s">
        <v>70</v>
      </c>
      <c r="X64" t="s">
        <v>514</v>
      </c>
      <c r="Y64" s="23">
        <v>40186</v>
      </c>
      <c r="Z64" s="23">
        <v>43278</v>
      </c>
      <c r="AA64" s="23">
        <v>42976</v>
      </c>
      <c r="AB64" s="21">
        <v>37</v>
      </c>
      <c r="AC64">
        <v>39000</v>
      </c>
      <c r="AD64" t="s">
        <v>71</v>
      </c>
      <c r="AE64" t="s">
        <v>71</v>
      </c>
    </row>
    <row r="65" spans="1:31" x14ac:dyDescent="0.45">
      <c r="A65">
        <v>979590</v>
      </c>
      <c r="B65" t="s">
        <v>515</v>
      </c>
      <c r="C65" t="s">
        <v>58</v>
      </c>
      <c r="D65" t="s">
        <v>516</v>
      </c>
      <c r="E65" t="s">
        <v>517</v>
      </c>
      <c r="F65" t="s">
        <v>518</v>
      </c>
      <c r="G65" t="s">
        <v>519</v>
      </c>
      <c r="H65" t="s">
        <v>520</v>
      </c>
      <c r="I65" t="s">
        <v>64</v>
      </c>
      <c r="J65" t="s">
        <v>180</v>
      </c>
      <c r="L65" t="s">
        <v>521</v>
      </c>
      <c r="O65" t="s">
        <v>522</v>
      </c>
      <c r="P65" t="s">
        <v>523</v>
      </c>
      <c r="S65">
        <v>15386</v>
      </c>
      <c r="T65" t="s">
        <v>98</v>
      </c>
      <c r="U65" t="s">
        <v>70</v>
      </c>
      <c r="W65" s="23">
        <v>18629</v>
      </c>
      <c r="X65" t="s">
        <v>524</v>
      </c>
      <c r="Y65" s="23">
        <v>41284</v>
      </c>
      <c r="Z65" s="23">
        <v>2958465</v>
      </c>
      <c r="AA65" s="23">
        <v>42976</v>
      </c>
      <c r="AB65" s="21">
        <v>37</v>
      </c>
      <c r="AC65">
        <v>24700</v>
      </c>
      <c r="AD65" t="s">
        <v>71</v>
      </c>
      <c r="AE65" t="s">
        <v>71</v>
      </c>
    </row>
    <row r="66" spans="1:31" x14ac:dyDescent="0.45">
      <c r="A66">
        <v>990132</v>
      </c>
      <c r="B66" t="s">
        <v>525</v>
      </c>
      <c r="C66" t="s">
        <v>399</v>
      </c>
      <c r="D66" t="s">
        <v>526</v>
      </c>
      <c r="E66" t="s">
        <v>320</v>
      </c>
      <c r="F66" t="s">
        <v>363</v>
      </c>
      <c r="G66" t="s">
        <v>364</v>
      </c>
      <c r="H66" t="s">
        <v>527</v>
      </c>
      <c r="I66" t="s">
        <v>64</v>
      </c>
      <c r="J66" t="s">
        <v>359</v>
      </c>
      <c r="L66" t="s">
        <v>528</v>
      </c>
      <c r="M66" t="s">
        <v>529</v>
      </c>
      <c r="O66" t="s">
        <v>530</v>
      </c>
      <c r="P66" t="s">
        <v>531</v>
      </c>
      <c r="S66">
        <v>15385</v>
      </c>
      <c r="T66" t="s">
        <v>69</v>
      </c>
      <c r="U66" t="s">
        <v>70</v>
      </c>
      <c r="W66" s="23">
        <v>18629</v>
      </c>
      <c r="Y66" s="23">
        <v>42677</v>
      </c>
      <c r="Z66" s="23">
        <v>2958465</v>
      </c>
      <c r="AA66" s="23">
        <v>42976</v>
      </c>
      <c r="AB66" s="21">
        <v>37</v>
      </c>
      <c r="AC66">
        <v>50731</v>
      </c>
      <c r="AD66" t="s">
        <v>71</v>
      </c>
      <c r="AE66" t="s">
        <v>71</v>
      </c>
    </row>
    <row r="67" spans="1:31" x14ac:dyDescent="0.45">
      <c r="A67">
        <v>990138</v>
      </c>
      <c r="B67" t="s">
        <v>532</v>
      </c>
      <c r="C67" t="s">
        <v>484</v>
      </c>
      <c r="D67" t="s">
        <v>533</v>
      </c>
      <c r="E67" t="s">
        <v>0</v>
      </c>
      <c r="F67" t="s">
        <v>415</v>
      </c>
      <c r="G67" t="s">
        <v>534</v>
      </c>
      <c r="H67" t="s">
        <v>535</v>
      </c>
      <c r="I67" t="s">
        <v>64</v>
      </c>
      <c r="J67" t="s">
        <v>536</v>
      </c>
      <c r="L67" t="s">
        <v>537</v>
      </c>
      <c r="M67" t="s">
        <v>538</v>
      </c>
      <c r="O67" t="s">
        <v>539</v>
      </c>
      <c r="P67" t="s">
        <v>540</v>
      </c>
      <c r="S67">
        <v>15386</v>
      </c>
      <c r="T67" t="s">
        <v>98</v>
      </c>
      <c r="U67" t="s">
        <v>70</v>
      </c>
      <c r="V67" s="23">
        <v>45565</v>
      </c>
      <c r="X67" t="s">
        <v>541</v>
      </c>
      <c r="Y67" s="23">
        <v>43123</v>
      </c>
      <c r="Z67" s="23">
        <v>45657</v>
      </c>
      <c r="AA67" s="23">
        <v>43283</v>
      </c>
      <c r="AB67" s="21">
        <v>37</v>
      </c>
      <c r="AC67">
        <v>49341</v>
      </c>
      <c r="AD67" t="s">
        <v>71</v>
      </c>
      <c r="AE67" t="s">
        <v>71</v>
      </c>
    </row>
    <row r="68" spans="1:31" x14ac:dyDescent="0.45">
      <c r="A68">
        <v>990138</v>
      </c>
      <c r="B68" t="s">
        <v>532</v>
      </c>
      <c r="C68" t="s">
        <v>484</v>
      </c>
      <c r="D68" t="s">
        <v>533</v>
      </c>
      <c r="E68" t="s">
        <v>0</v>
      </c>
      <c r="F68" t="s">
        <v>415</v>
      </c>
      <c r="G68" t="s">
        <v>534</v>
      </c>
      <c r="H68" t="s">
        <v>535</v>
      </c>
      <c r="I68" t="s">
        <v>64</v>
      </c>
      <c r="J68" t="s">
        <v>536</v>
      </c>
      <c r="L68" t="s">
        <v>537</v>
      </c>
      <c r="M68" t="s">
        <v>538</v>
      </c>
      <c r="O68" t="s">
        <v>539</v>
      </c>
      <c r="P68" t="s">
        <v>540</v>
      </c>
      <c r="R68" t="s">
        <v>542</v>
      </c>
      <c r="S68">
        <v>15394</v>
      </c>
      <c r="T68" t="s">
        <v>543</v>
      </c>
      <c r="U68" t="s">
        <v>70</v>
      </c>
      <c r="V68" s="23">
        <v>42762</v>
      </c>
      <c r="W68" s="23">
        <v>43123</v>
      </c>
      <c r="X68" t="s">
        <v>544</v>
      </c>
      <c r="Y68" s="23">
        <v>42750</v>
      </c>
      <c r="Z68" s="23">
        <v>43123</v>
      </c>
      <c r="AA68" s="23">
        <v>42976</v>
      </c>
      <c r="AB68" s="21">
        <v>37</v>
      </c>
      <c r="AC68">
        <v>49341</v>
      </c>
      <c r="AD68" t="s">
        <v>71</v>
      </c>
      <c r="AE68" t="s">
        <v>71</v>
      </c>
    </row>
    <row r="69" spans="1:31" x14ac:dyDescent="0.45">
      <c r="A69">
        <v>990150</v>
      </c>
      <c r="B69" t="s">
        <v>545</v>
      </c>
      <c r="C69" t="s">
        <v>153</v>
      </c>
      <c r="D69" t="s">
        <v>546</v>
      </c>
      <c r="E69" t="s">
        <v>0</v>
      </c>
      <c r="F69" t="s">
        <v>415</v>
      </c>
      <c r="G69" t="s">
        <v>534</v>
      </c>
      <c r="H69" t="s">
        <v>547</v>
      </c>
      <c r="I69" t="s">
        <v>64</v>
      </c>
      <c r="J69" t="s">
        <v>548</v>
      </c>
      <c r="L69" t="s">
        <v>549</v>
      </c>
      <c r="O69" t="s">
        <v>550</v>
      </c>
      <c r="P69" t="s">
        <v>551</v>
      </c>
      <c r="Q69">
        <v>1524415373</v>
      </c>
      <c r="S69">
        <v>15386</v>
      </c>
      <c r="T69" t="s">
        <v>98</v>
      </c>
      <c r="U69" t="s">
        <v>70</v>
      </c>
      <c r="V69" s="23">
        <v>45565</v>
      </c>
      <c r="Y69" s="23">
        <v>43494</v>
      </c>
      <c r="Z69" s="23">
        <v>45657</v>
      </c>
      <c r="AA69" s="23">
        <v>43539</v>
      </c>
      <c r="AB69" s="21">
        <v>37</v>
      </c>
      <c r="AC69">
        <v>50731</v>
      </c>
      <c r="AD69" t="s">
        <v>71</v>
      </c>
      <c r="AE69" t="s">
        <v>71</v>
      </c>
    </row>
    <row r="70" spans="1:31" x14ac:dyDescent="0.45">
      <c r="A70">
        <v>990150</v>
      </c>
      <c r="B70" t="s">
        <v>545</v>
      </c>
      <c r="C70" t="s">
        <v>153</v>
      </c>
      <c r="D70" t="s">
        <v>546</v>
      </c>
      <c r="E70" t="s">
        <v>0</v>
      </c>
      <c r="F70" t="s">
        <v>415</v>
      </c>
      <c r="G70" t="s">
        <v>534</v>
      </c>
      <c r="H70" t="s">
        <v>547</v>
      </c>
      <c r="I70" t="s">
        <v>64</v>
      </c>
      <c r="J70" t="s">
        <v>548</v>
      </c>
      <c r="L70" t="s">
        <v>549</v>
      </c>
      <c r="O70" t="s">
        <v>550</v>
      </c>
      <c r="P70" t="s">
        <v>551</v>
      </c>
      <c r="Q70">
        <v>1524415373</v>
      </c>
      <c r="R70" t="s">
        <v>552</v>
      </c>
      <c r="S70">
        <v>15394</v>
      </c>
      <c r="T70" t="s">
        <v>543</v>
      </c>
      <c r="U70" t="s">
        <v>70</v>
      </c>
      <c r="V70" s="23">
        <v>42962</v>
      </c>
      <c r="W70" s="23">
        <v>43494</v>
      </c>
      <c r="Y70" s="23">
        <v>42426</v>
      </c>
      <c r="Z70" s="23">
        <v>43494</v>
      </c>
      <c r="AA70" s="23">
        <v>42996</v>
      </c>
      <c r="AB70" s="21">
        <v>37</v>
      </c>
      <c r="AC70">
        <v>50731</v>
      </c>
      <c r="AD70" t="s">
        <v>71</v>
      </c>
      <c r="AE70" t="s">
        <v>71</v>
      </c>
    </row>
    <row r="71" spans="1:31" x14ac:dyDescent="0.45">
      <c r="A71">
        <v>990244</v>
      </c>
      <c r="B71" t="s">
        <v>553</v>
      </c>
      <c r="C71" t="s">
        <v>554</v>
      </c>
      <c r="D71" t="s">
        <v>555</v>
      </c>
      <c r="E71" t="s">
        <v>0</v>
      </c>
      <c r="F71" t="s">
        <v>415</v>
      </c>
      <c r="G71" t="s">
        <v>499</v>
      </c>
      <c r="H71" t="s">
        <v>547</v>
      </c>
      <c r="I71" t="s">
        <v>64</v>
      </c>
      <c r="J71" t="s">
        <v>556</v>
      </c>
      <c r="K71" t="s">
        <v>556</v>
      </c>
      <c r="L71" t="s">
        <v>557</v>
      </c>
      <c r="O71" t="s">
        <v>558</v>
      </c>
      <c r="P71" t="s">
        <v>559</v>
      </c>
      <c r="S71">
        <v>15386</v>
      </c>
      <c r="T71" t="s">
        <v>98</v>
      </c>
      <c r="U71" t="s">
        <v>70</v>
      </c>
      <c r="V71" s="23">
        <v>45565</v>
      </c>
      <c r="X71" t="s">
        <v>560</v>
      </c>
      <c r="Y71" s="23">
        <v>43504</v>
      </c>
      <c r="Z71" s="23">
        <v>45657</v>
      </c>
      <c r="AA71" s="23">
        <v>43556</v>
      </c>
      <c r="AB71" s="21">
        <v>37</v>
      </c>
      <c r="AC71">
        <v>49341</v>
      </c>
      <c r="AD71" t="s">
        <v>71</v>
      </c>
      <c r="AE71" t="s">
        <v>71</v>
      </c>
    </row>
    <row r="72" spans="1:31" x14ac:dyDescent="0.45">
      <c r="A72">
        <v>990261</v>
      </c>
      <c r="B72" t="s">
        <v>561</v>
      </c>
      <c r="C72" t="s">
        <v>153</v>
      </c>
      <c r="D72" t="s">
        <v>562</v>
      </c>
      <c r="E72" t="s">
        <v>320</v>
      </c>
      <c r="F72" t="s">
        <v>329</v>
      </c>
      <c r="G72" t="s">
        <v>330</v>
      </c>
      <c r="H72" t="s">
        <v>563</v>
      </c>
      <c r="I72" t="s">
        <v>64</v>
      </c>
      <c r="J72" t="s">
        <v>459</v>
      </c>
      <c r="L72" t="s">
        <v>564</v>
      </c>
      <c r="O72" t="s">
        <v>504</v>
      </c>
      <c r="P72" t="s">
        <v>565</v>
      </c>
      <c r="Q72">
        <v>7479960898</v>
      </c>
      <c r="S72">
        <v>15386</v>
      </c>
      <c r="T72" t="s">
        <v>98</v>
      </c>
      <c r="U72" t="s">
        <v>70</v>
      </c>
      <c r="V72" s="23">
        <v>45565</v>
      </c>
      <c r="X72" t="s">
        <v>566</v>
      </c>
      <c r="Y72" s="23">
        <v>43563</v>
      </c>
      <c r="Z72" s="23">
        <v>45657</v>
      </c>
      <c r="AA72" s="23">
        <v>43565</v>
      </c>
      <c r="AB72" s="21">
        <v>37</v>
      </c>
      <c r="AC72">
        <v>41655</v>
      </c>
      <c r="AD72" t="s">
        <v>71</v>
      </c>
      <c r="AE72" t="s">
        <v>71</v>
      </c>
    </row>
    <row r="73" spans="1:31" x14ac:dyDescent="0.45">
      <c r="A73">
        <v>990261</v>
      </c>
      <c r="B73" t="s">
        <v>561</v>
      </c>
      <c r="C73" t="s">
        <v>153</v>
      </c>
      <c r="D73" t="s">
        <v>562</v>
      </c>
      <c r="E73" t="s">
        <v>320</v>
      </c>
      <c r="F73" t="s">
        <v>329</v>
      </c>
      <c r="G73" t="s">
        <v>330</v>
      </c>
      <c r="H73" t="s">
        <v>563</v>
      </c>
      <c r="I73" t="s">
        <v>64</v>
      </c>
      <c r="J73" t="s">
        <v>459</v>
      </c>
      <c r="L73" t="s">
        <v>564</v>
      </c>
      <c r="O73" t="s">
        <v>504</v>
      </c>
      <c r="P73" t="s">
        <v>565</v>
      </c>
      <c r="Q73">
        <v>7479960898</v>
      </c>
      <c r="R73" t="s">
        <v>567</v>
      </c>
      <c r="S73">
        <v>15394</v>
      </c>
      <c r="T73" t="s">
        <v>543</v>
      </c>
      <c r="U73" t="s">
        <v>70</v>
      </c>
      <c r="V73" s="23">
        <v>43137</v>
      </c>
      <c r="W73" s="23">
        <v>43563</v>
      </c>
      <c r="X73" t="s">
        <v>568</v>
      </c>
      <c r="Y73" s="23">
        <v>42761</v>
      </c>
      <c r="Z73" s="23">
        <v>43563</v>
      </c>
      <c r="AA73" s="23">
        <v>42976</v>
      </c>
      <c r="AB73" s="21">
        <v>37</v>
      </c>
      <c r="AC73">
        <v>41655</v>
      </c>
      <c r="AD73" t="s">
        <v>71</v>
      </c>
      <c r="AE73" t="s">
        <v>71</v>
      </c>
    </row>
    <row r="74" spans="1:31" x14ac:dyDescent="0.45">
      <c r="A74">
        <v>990387</v>
      </c>
      <c r="B74" t="s">
        <v>569</v>
      </c>
      <c r="C74" t="s">
        <v>83</v>
      </c>
      <c r="D74" t="s">
        <v>570</v>
      </c>
      <c r="E74" t="s">
        <v>0</v>
      </c>
      <c r="F74" t="s">
        <v>60</v>
      </c>
      <c r="G74" t="s">
        <v>571</v>
      </c>
      <c r="H74" t="s">
        <v>572</v>
      </c>
      <c r="I74" t="s">
        <v>64</v>
      </c>
      <c r="J74" t="s">
        <v>573</v>
      </c>
      <c r="L74" t="s">
        <v>574</v>
      </c>
      <c r="O74" t="s">
        <v>575</v>
      </c>
      <c r="P74" t="s">
        <v>576</v>
      </c>
      <c r="S74">
        <v>15386</v>
      </c>
      <c r="T74" t="s">
        <v>98</v>
      </c>
      <c r="U74" t="s">
        <v>70</v>
      </c>
      <c r="W74" s="23">
        <v>18629</v>
      </c>
      <c r="X74" t="s">
        <v>577</v>
      </c>
      <c r="Y74" s="23">
        <v>39562</v>
      </c>
      <c r="Z74" s="23">
        <v>2958465</v>
      </c>
      <c r="AA74" s="23">
        <v>42976</v>
      </c>
      <c r="AB74" s="21">
        <v>37</v>
      </c>
      <c r="AC74">
        <v>35708</v>
      </c>
      <c r="AD74" t="s">
        <v>71</v>
      </c>
      <c r="AE74" t="s">
        <v>71</v>
      </c>
    </row>
    <row r="75" spans="1:31" x14ac:dyDescent="0.45">
      <c r="A75">
        <v>990498</v>
      </c>
      <c r="B75" t="s">
        <v>578</v>
      </c>
      <c r="C75" t="s">
        <v>90</v>
      </c>
      <c r="D75" t="s">
        <v>579</v>
      </c>
      <c r="E75" t="s">
        <v>1</v>
      </c>
      <c r="F75" t="s">
        <v>102</v>
      </c>
      <c r="G75" t="s">
        <v>147</v>
      </c>
      <c r="H75" t="s">
        <v>104</v>
      </c>
      <c r="I75" t="s">
        <v>130</v>
      </c>
      <c r="J75" t="s">
        <v>131</v>
      </c>
      <c r="L75" t="s">
        <v>580</v>
      </c>
      <c r="M75" t="s">
        <v>581</v>
      </c>
      <c r="O75" t="s">
        <v>133</v>
      </c>
      <c r="P75" t="s">
        <v>582</v>
      </c>
      <c r="Q75" t="s">
        <v>583</v>
      </c>
      <c r="S75">
        <v>15386</v>
      </c>
      <c r="T75" t="s">
        <v>98</v>
      </c>
      <c r="U75" t="s">
        <v>70</v>
      </c>
      <c r="V75" s="23">
        <v>45565</v>
      </c>
      <c r="X75" t="s">
        <v>584</v>
      </c>
      <c r="Y75" s="23">
        <v>43595</v>
      </c>
      <c r="Z75" s="23">
        <v>45657</v>
      </c>
      <c r="AA75" s="23">
        <v>43654</v>
      </c>
      <c r="AB75" s="21">
        <v>37</v>
      </c>
      <c r="AC75">
        <v>25531</v>
      </c>
      <c r="AD75" t="s">
        <v>71</v>
      </c>
      <c r="AE75" t="s">
        <v>71</v>
      </c>
    </row>
    <row r="76" spans="1:31" x14ac:dyDescent="0.45">
      <c r="A76">
        <v>990498</v>
      </c>
      <c r="B76" t="s">
        <v>578</v>
      </c>
      <c r="C76" t="s">
        <v>90</v>
      </c>
      <c r="D76" t="s">
        <v>579</v>
      </c>
      <c r="E76" t="s">
        <v>1</v>
      </c>
      <c r="F76" t="s">
        <v>102</v>
      </c>
      <c r="G76" t="s">
        <v>147</v>
      </c>
      <c r="H76" t="s">
        <v>104</v>
      </c>
      <c r="I76" t="s">
        <v>130</v>
      </c>
      <c r="J76" t="s">
        <v>131</v>
      </c>
      <c r="L76" t="s">
        <v>580</v>
      </c>
      <c r="M76" t="s">
        <v>581</v>
      </c>
      <c r="O76" t="s">
        <v>133</v>
      </c>
      <c r="P76" t="s">
        <v>582</v>
      </c>
      <c r="Q76" t="s">
        <v>583</v>
      </c>
      <c r="S76">
        <v>15404</v>
      </c>
      <c r="T76" t="s">
        <v>585</v>
      </c>
      <c r="U76" t="s">
        <v>70</v>
      </c>
      <c r="V76" s="23">
        <v>43169</v>
      </c>
      <c r="W76" s="23">
        <v>43515</v>
      </c>
      <c r="X76" t="s">
        <v>586</v>
      </c>
      <c r="Y76" s="23">
        <v>41689</v>
      </c>
      <c r="Z76" s="23">
        <v>43515</v>
      </c>
      <c r="AA76" s="23">
        <v>42976</v>
      </c>
      <c r="AB76" s="21">
        <v>37</v>
      </c>
      <c r="AC76">
        <v>25531</v>
      </c>
      <c r="AD76" t="s">
        <v>71</v>
      </c>
      <c r="AE76" t="s">
        <v>71</v>
      </c>
    </row>
    <row r="77" spans="1:31" x14ac:dyDescent="0.45">
      <c r="A77">
        <v>990854</v>
      </c>
      <c r="B77" t="s">
        <v>587</v>
      </c>
      <c r="C77" t="s">
        <v>83</v>
      </c>
      <c r="D77" t="s">
        <v>588</v>
      </c>
      <c r="E77" t="s">
        <v>320</v>
      </c>
      <c r="F77" t="s">
        <v>589</v>
      </c>
      <c r="G77" t="s">
        <v>590</v>
      </c>
      <c r="H77" t="s">
        <v>591</v>
      </c>
      <c r="I77" t="s">
        <v>64</v>
      </c>
      <c r="J77" t="s">
        <v>320</v>
      </c>
      <c r="L77" t="s">
        <v>592</v>
      </c>
      <c r="M77" t="s">
        <v>593</v>
      </c>
      <c r="O77" t="s">
        <v>594</v>
      </c>
      <c r="P77" t="s">
        <v>595</v>
      </c>
      <c r="Q77">
        <v>1823331448</v>
      </c>
      <c r="S77">
        <v>15386</v>
      </c>
      <c r="T77" t="s">
        <v>98</v>
      </c>
      <c r="U77" t="s">
        <v>70</v>
      </c>
      <c r="V77" s="23">
        <v>45565</v>
      </c>
      <c r="X77" t="s">
        <v>596</v>
      </c>
      <c r="Y77" s="23">
        <v>43362</v>
      </c>
      <c r="Z77" s="23">
        <v>45657</v>
      </c>
      <c r="AA77" s="23">
        <v>42976</v>
      </c>
      <c r="AB77" s="21">
        <v>37</v>
      </c>
      <c r="AC77">
        <v>52681</v>
      </c>
      <c r="AD77" t="s">
        <v>71</v>
      </c>
      <c r="AE77" t="s">
        <v>71</v>
      </c>
    </row>
    <row r="78" spans="1:31" x14ac:dyDescent="0.45">
      <c r="A78">
        <v>991036</v>
      </c>
      <c r="B78" t="s">
        <v>597</v>
      </c>
      <c r="C78" t="s">
        <v>153</v>
      </c>
      <c r="D78" t="s">
        <v>424</v>
      </c>
      <c r="E78" t="s">
        <v>320</v>
      </c>
      <c r="F78" t="s">
        <v>356</v>
      </c>
      <c r="G78" t="s">
        <v>425</v>
      </c>
      <c r="H78" t="s">
        <v>598</v>
      </c>
      <c r="I78" t="s">
        <v>64</v>
      </c>
      <c r="J78" t="s">
        <v>320</v>
      </c>
      <c r="L78" t="s">
        <v>599</v>
      </c>
      <c r="O78" t="s">
        <v>504</v>
      </c>
      <c r="P78" t="s">
        <v>600</v>
      </c>
      <c r="S78">
        <v>15385</v>
      </c>
      <c r="T78" t="s">
        <v>69</v>
      </c>
      <c r="U78" t="s">
        <v>70</v>
      </c>
      <c r="W78" s="23">
        <v>18629</v>
      </c>
      <c r="Y78" s="23">
        <v>42498</v>
      </c>
      <c r="Z78" s="23">
        <v>2958465</v>
      </c>
      <c r="AA78" s="23">
        <v>42976</v>
      </c>
      <c r="AB78" s="21">
        <v>37</v>
      </c>
      <c r="AC78">
        <v>43651</v>
      </c>
      <c r="AD78" t="s">
        <v>71</v>
      </c>
      <c r="AE78" t="s">
        <v>71</v>
      </c>
    </row>
    <row r="79" spans="1:31" x14ac:dyDescent="0.45">
      <c r="A79">
        <v>991114</v>
      </c>
      <c r="B79" t="s">
        <v>601</v>
      </c>
      <c r="C79" t="s">
        <v>602</v>
      </c>
      <c r="D79" t="s">
        <v>603</v>
      </c>
      <c r="E79" t="s">
        <v>1</v>
      </c>
      <c r="F79" t="s">
        <v>604</v>
      </c>
      <c r="G79" t="s">
        <v>605</v>
      </c>
      <c r="H79" t="s">
        <v>606</v>
      </c>
      <c r="I79" t="s">
        <v>64</v>
      </c>
      <c r="J79" t="s">
        <v>65</v>
      </c>
      <c r="L79" t="s">
        <v>607</v>
      </c>
      <c r="M79" t="s">
        <v>608</v>
      </c>
      <c r="O79" t="s">
        <v>80</v>
      </c>
      <c r="P79" t="s">
        <v>609</v>
      </c>
      <c r="S79">
        <v>15386</v>
      </c>
      <c r="T79" t="s">
        <v>98</v>
      </c>
      <c r="U79" t="s">
        <v>70</v>
      </c>
      <c r="V79" s="23">
        <v>45565</v>
      </c>
      <c r="X79" t="s">
        <v>610</v>
      </c>
      <c r="Y79" s="23">
        <v>43637</v>
      </c>
      <c r="Z79" s="23">
        <v>45657</v>
      </c>
      <c r="AA79" s="23">
        <v>43710</v>
      </c>
      <c r="AB79" s="21">
        <v>37</v>
      </c>
      <c r="AC79">
        <v>50000</v>
      </c>
      <c r="AD79" t="s">
        <v>71</v>
      </c>
      <c r="AE79" t="s">
        <v>71</v>
      </c>
    </row>
    <row r="80" spans="1:31" x14ac:dyDescent="0.45">
      <c r="A80">
        <v>991114</v>
      </c>
      <c r="B80" t="s">
        <v>601</v>
      </c>
      <c r="C80" t="s">
        <v>602</v>
      </c>
      <c r="D80" t="s">
        <v>603</v>
      </c>
      <c r="E80" t="s">
        <v>1</v>
      </c>
      <c r="F80" t="s">
        <v>604</v>
      </c>
      <c r="G80" t="s">
        <v>605</v>
      </c>
      <c r="H80" t="s">
        <v>606</v>
      </c>
      <c r="I80" t="s">
        <v>64</v>
      </c>
      <c r="J80" t="s">
        <v>65</v>
      </c>
      <c r="L80" t="s">
        <v>607</v>
      </c>
      <c r="M80" t="s">
        <v>608</v>
      </c>
      <c r="O80" t="s">
        <v>80</v>
      </c>
      <c r="P80" t="s">
        <v>609</v>
      </c>
      <c r="R80" t="s">
        <v>611</v>
      </c>
      <c r="S80">
        <v>15394</v>
      </c>
      <c r="T80" t="s">
        <v>543</v>
      </c>
      <c r="U80" t="s">
        <v>70</v>
      </c>
      <c r="V80" s="23">
        <v>43139</v>
      </c>
      <c r="W80" s="23">
        <v>43710</v>
      </c>
      <c r="X80" t="s">
        <v>612</v>
      </c>
      <c r="Y80" s="23">
        <v>42672</v>
      </c>
      <c r="Z80" s="23">
        <v>43736</v>
      </c>
      <c r="AA80" s="23">
        <v>42976</v>
      </c>
      <c r="AB80" s="21">
        <v>37</v>
      </c>
      <c r="AC80">
        <v>50000</v>
      </c>
      <c r="AD80" t="s">
        <v>71</v>
      </c>
      <c r="AE80" t="s">
        <v>71</v>
      </c>
    </row>
    <row r="81" spans="1:31" x14ac:dyDescent="0.45">
      <c r="A81">
        <v>991492</v>
      </c>
      <c r="B81" t="s">
        <v>613</v>
      </c>
      <c r="C81" t="s">
        <v>192</v>
      </c>
      <c r="D81" t="s">
        <v>614</v>
      </c>
      <c r="E81" t="s">
        <v>1</v>
      </c>
      <c r="F81" t="s">
        <v>102</v>
      </c>
      <c r="G81" t="s">
        <v>103</v>
      </c>
      <c r="H81" t="s">
        <v>104</v>
      </c>
      <c r="I81" t="s">
        <v>64</v>
      </c>
      <c r="J81" t="s">
        <v>156</v>
      </c>
      <c r="L81" t="s">
        <v>615</v>
      </c>
      <c r="O81" t="s">
        <v>616</v>
      </c>
      <c r="P81" t="s">
        <v>617</v>
      </c>
      <c r="S81">
        <v>15385</v>
      </c>
      <c r="T81" t="s">
        <v>69</v>
      </c>
      <c r="U81" t="s">
        <v>70</v>
      </c>
      <c r="W81" s="23">
        <v>18629</v>
      </c>
      <c r="Y81" s="23">
        <v>18629</v>
      </c>
      <c r="Z81" s="23">
        <v>2958465</v>
      </c>
      <c r="AA81" s="23">
        <v>42976</v>
      </c>
      <c r="AB81" s="21">
        <v>37</v>
      </c>
      <c r="AC81">
        <v>24957</v>
      </c>
      <c r="AD81" t="s">
        <v>71</v>
      </c>
      <c r="AE81" t="s">
        <v>71</v>
      </c>
    </row>
    <row r="82" spans="1:31" x14ac:dyDescent="0.45">
      <c r="A82">
        <v>991535</v>
      </c>
      <c r="B82" t="s">
        <v>618</v>
      </c>
      <c r="C82" t="s">
        <v>399</v>
      </c>
      <c r="D82" t="s">
        <v>619</v>
      </c>
      <c r="E82" t="s">
        <v>1</v>
      </c>
      <c r="F82" t="s">
        <v>620</v>
      </c>
      <c r="G82" t="s">
        <v>621</v>
      </c>
      <c r="H82" t="s">
        <v>622</v>
      </c>
      <c r="I82" t="s">
        <v>64</v>
      </c>
      <c r="J82" t="s">
        <v>65</v>
      </c>
      <c r="L82" t="s">
        <v>623</v>
      </c>
      <c r="M82" t="s">
        <v>624</v>
      </c>
      <c r="O82" t="s">
        <v>80</v>
      </c>
      <c r="P82" t="s">
        <v>625</v>
      </c>
      <c r="S82">
        <v>15386</v>
      </c>
      <c r="T82" t="s">
        <v>98</v>
      </c>
      <c r="U82" t="s">
        <v>70</v>
      </c>
      <c r="W82" s="23">
        <v>18629</v>
      </c>
      <c r="X82" t="s">
        <v>626</v>
      </c>
      <c r="Y82" s="23">
        <v>40982</v>
      </c>
      <c r="Z82" s="23">
        <v>2958465</v>
      </c>
      <c r="AA82" s="23">
        <v>42976</v>
      </c>
      <c r="AB82" s="21">
        <v>37</v>
      </c>
      <c r="AC82">
        <v>91845</v>
      </c>
      <c r="AD82" t="s">
        <v>71</v>
      </c>
      <c r="AE82" t="s">
        <v>71</v>
      </c>
    </row>
    <row r="83" spans="1:31" x14ac:dyDescent="0.45">
      <c r="A83">
        <v>991558</v>
      </c>
      <c r="B83" t="s">
        <v>627</v>
      </c>
      <c r="C83" t="s">
        <v>628</v>
      </c>
      <c r="D83" t="s">
        <v>629</v>
      </c>
      <c r="E83" t="s">
        <v>0</v>
      </c>
      <c r="F83" t="s">
        <v>415</v>
      </c>
      <c r="G83" t="s">
        <v>416</v>
      </c>
      <c r="H83" t="s">
        <v>598</v>
      </c>
      <c r="I83" t="s">
        <v>64</v>
      </c>
      <c r="J83" t="s">
        <v>487</v>
      </c>
      <c r="L83" t="s">
        <v>630</v>
      </c>
      <c r="M83" t="s">
        <v>631</v>
      </c>
      <c r="O83" t="s">
        <v>490</v>
      </c>
      <c r="P83" t="s">
        <v>632</v>
      </c>
      <c r="S83">
        <v>15386</v>
      </c>
      <c r="T83" t="s">
        <v>98</v>
      </c>
      <c r="U83" t="s">
        <v>70</v>
      </c>
      <c r="V83" s="23">
        <v>45565</v>
      </c>
      <c r="X83" t="s">
        <v>633</v>
      </c>
      <c r="Y83" s="23">
        <v>43384</v>
      </c>
      <c r="Z83" s="23">
        <v>45657</v>
      </c>
      <c r="AA83" s="23">
        <v>43654</v>
      </c>
      <c r="AB83" s="21">
        <v>37</v>
      </c>
      <c r="AC83">
        <v>48432</v>
      </c>
      <c r="AD83" t="s">
        <v>71</v>
      </c>
      <c r="AE83" t="s">
        <v>71</v>
      </c>
    </row>
    <row r="84" spans="1:31" x14ac:dyDescent="0.45">
      <c r="A84">
        <v>991558</v>
      </c>
      <c r="B84" t="s">
        <v>627</v>
      </c>
      <c r="C84" t="s">
        <v>628</v>
      </c>
      <c r="D84" t="s">
        <v>629</v>
      </c>
      <c r="E84" t="s">
        <v>0</v>
      </c>
      <c r="F84" t="s">
        <v>415</v>
      </c>
      <c r="G84" t="s">
        <v>416</v>
      </c>
      <c r="H84" t="s">
        <v>598</v>
      </c>
      <c r="I84" t="s">
        <v>64</v>
      </c>
      <c r="J84" t="s">
        <v>487</v>
      </c>
      <c r="L84" t="s">
        <v>630</v>
      </c>
      <c r="M84" t="s">
        <v>631</v>
      </c>
      <c r="O84" t="s">
        <v>490</v>
      </c>
      <c r="P84" t="s">
        <v>632</v>
      </c>
      <c r="R84" t="s">
        <v>634</v>
      </c>
      <c r="S84">
        <v>15394</v>
      </c>
      <c r="T84" t="s">
        <v>543</v>
      </c>
      <c r="U84" t="s">
        <v>70</v>
      </c>
      <c r="V84" s="23">
        <v>43077</v>
      </c>
      <c r="W84" s="23">
        <v>43732</v>
      </c>
      <c r="X84" t="s">
        <v>635</v>
      </c>
      <c r="Y84" s="23">
        <v>42709</v>
      </c>
      <c r="Z84" s="23">
        <v>43732</v>
      </c>
      <c r="AA84" s="23">
        <v>42976</v>
      </c>
      <c r="AB84" s="21">
        <v>37</v>
      </c>
      <c r="AC84">
        <v>48432</v>
      </c>
      <c r="AD84" t="s">
        <v>71</v>
      </c>
      <c r="AE84" t="s">
        <v>71</v>
      </c>
    </row>
    <row r="85" spans="1:31" x14ac:dyDescent="0.45">
      <c r="A85">
        <v>991571</v>
      </c>
      <c r="B85" t="s">
        <v>636</v>
      </c>
      <c r="C85" t="s">
        <v>554</v>
      </c>
      <c r="D85" t="s">
        <v>637</v>
      </c>
      <c r="E85" t="s">
        <v>0</v>
      </c>
      <c r="F85" t="s">
        <v>415</v>
      </c>
      <c r="G85" t="s">
        <v>416</v>
      </c>
      <c r="H85" t="s">
        <v>638</v>
      </c>
      <c r="I85" t="s">
        <v>64</v>
      </c>
      <c r="J85" t="s">
        <v>332</v>
      </c>
      <c r="L85" t="s">
        <v>639</v>
      </c>
      <c r="O85" t="s">
        <v>640</v>
      </c>
      <c r="P85" t="s">
        <v>641</v>
      </c>
      <c r="S85">
        <v>15386</v>
      </c>
      <c r="T85" t="s">
        <v>98</v>
      </c>
      <c r="U85" t="s">
        <v>70</v>
      </c>
      <c r="V85" s="23">
        <v>45565</v>
      </c>
      <c r="X85" t="s">
        <v>642</v>
      </c>
      <c r="Y85" s="23">
        <v>43486</v>
      </c>
      <c r="Z85" s="23">
        <v>45657</v>
      </c>
      <c r="AA85" s="23">
        <v>43685</v>
      </c>
      <c r="AB85" s="21">
        <v>37</v>
      </c>
      <c r="AC85">
        <v>47526</v>
      </c>
      <c r="AD85" t="s">
        <v>71</v>
      </c>
      <c r="AE85" t="s">
        <v>71</v>
      </c>
    </row>
    <row r="86" spans="1:31" x14ac:dyDescent="0.45">
      <c r="A86">
        <v>991571</v>
      </c>
      <c r="B86" t="s">
        <v>636</v>
      </c>
      <c r="C86" t="s">
        <v>554</v>
      </c>
      <c r="D86" t="s">
        <v>637</v>
      </c>
      <c r="E86" t="s">
        <v>0</v>
      </c>
      <c r="F86" t="s">
        <v>415</v>
      </c>
      <c r="G86" t="s">
        <v>416</v>
      </c>
      <c r="H86" t="s">
        <v>638</v>
      </c>
      <c r="I86" t="s">
        <v>64</v>
      </c>
      <c r="J86" t="s">
        <v>332</v>
      </c>
      <c r="L86" t="s">
        <v>639</v>
      </c>
      <c r="O86" t="s">
        <v>640</v>
      </c>
      <c r="P86" t="s">
        <v>641</v>
      </c>
      <c r="R86" t="s">
        <v>643</v>
      </c>
      <c r="S86">
        <v>15394</v>
      </c>
      <c r="T86" t="s">
        <v>543</v>
      </c>
      <c r="U86" t="s">
        <v>70</v>
      </c>
      <c r="V86" s="23">
        <v>42977</v>
      </c>
      <c r="W86" s="23">
        <v>43685</v>
      </c>
      <c r="Y86" s="23">
        <v>42605</v>
      </c>
      <c r="Z86" s="23">
        <v>43762</v>
      </c>
      <c r="AA86" s="23">
        <v>42996</v>
      </c>
      <c r="AB86" s="21">
        <v>37</v>
      </c>
      <c r="AC86">
        <v>47526</v>
      </c>
      <c r="AD86" t="s">
        <v>71</v>
      </c>
      <c r="AE86" t="s">
        <v>71</v>
      </c>
    </row>
    <row r="87" spans="1:31" x14ac:dyDescent="0.45">
      <c r="A87">
        <v>991576</v>
      </c>
      <c r="B87" t="s">
        <v>644</v>
      </c>
      <c r="C87" t="s">
        <v>192</v>
      </c>
      <c r="D87" t="s">
        <v>645</v>
      </c>
      <c r="E87" t="s">
        <v>0</v>
      </c>
      <c r="F87" t="s">
        <v>415</v>
      </c>
      <c r="G87" t="s">
        <v>416</v>
      </c>
      <c r="H87" t="s">
        <v>646</v>
      </c>
      <c r="I87" t="s">
        <v>64</v>
      </c>
      <c r="J87" t="s">
        <v>332</v>
      </c>
      <c r="L87" t="s">
        <v>647</v>
      </c>
      <c r="O87" t="s">
        <v>530</v>
      </c>
      <c r="P87" t="s">
        <v>648</v>
      </c>
      <c r="S87">
        <v>15386</v>
      </c>
      <c r="T87" t="s">
        <v>98</v>
      </c>
      <c r="U87" t="s">
        <v>70</v>
      </c>
      <c r="V87" s="23">
        <v>45565</v>
      </c>
      <c r="X87" t="s">
        <v>649</v>
      </c>
      <c r="Y87" s="23">
        <v>43482</v>
      </c>
      <c r="Z87" s="23">
        <v>45657</v>
      </c>
      <c r="AA87" s="23">
        <v>43707</v>
      </c>
      <c r="AB87" s="21">
        <v>37</v>
      </c>
      <c r="AC87">
        <v>39347</v>
      </c>
      <c r="AD87" t="s">
        <v>71</v>
      </c>
      <c r="AE87" t="s">
        <v>71</v>
      </c>
    </row>
    <row r="88" spans="1:31" x14ac:dyDescent="0.45">
      <c r="A88">
        <v>991576</v>
      </c>
      <c r="B88" t="s">
        <v>644</v>
      </c>
      <c r="C88" t="s">
        <v>192</v>
      </c>
      <c r="D88" t="s">
        <v>645</v>
      </c>
      <c r="E88" t="s">
        <v>0</v>
      </c>
      <c r="F88" t="s">
        <v>415</v>
      </c>
      <c r="G88" t="s">
        <v>416</v>
      </c>
      <c r="H88" t="s">
        <v>646</v>
      </c>
      <c r="I88" t="s">
        <v>64</v>
      </c>
      <c r="J88" t="s">
        <v>332</v>
      </c>
      <c r="L88" t="s">
        <v>647</v>
      </c>
      <c r="O88" t="s">
        <v>530</v>
      </c>
      <c r="P88" t="s">
        <v>648</v>
      </c>
      <c r="R88" t="s">
        <v>650</v>
      </c>
      <c r="S88">
        <v>15394</v>
      </c>
      <c r="T88" t="s">
        <v>543</v>
      </c>
      <c r="U88" t="s">
        <v>70</v>
      </c>
      <c r="V88" s="23">
        <v>43707</v>
      </c>
      <c r="W88" s="23">
        <v>43707</v>
      </c>
      <c r="X88" t="s">
        <v>651</v>
      </c>
      <c r="Y88" s="23">
        <v>42689</v>
      </c>
      <c r="Z88" s="23">
        <v>43707</v>
      </c>
      <c r="AA88" s="23">
        <v>42976</v>
      </c>
      <c r="AB88" s="21">
        <v>37</v>
      </c>
      <c r="AC88">
        <v>39347</v>
      </c>
      <c r="AD88" t="s">
        <v>71</v>
      </c>
      <c r="AE88" t="s">
        <v>71</v>
      </c>
    </row>
    <row r="89" spans="1:31" x14ac:dyDescent="0.45">
      <c r="A89">
        <v>991577</v>
      </c>
      <c r="B89" t="s">
        <v>652</v>
      </c>
      <c r="C89" t="s">
        <v>153</v>
      </c>
      <c r="D89" t="s">
        <v>485</v>
      </c>
      <c r="E89" t="s">
        <v>0</v>
      </c>
      <c r="F89" t="s">
        <v>415</v>
      </c>
      <c r="G89" t="s">
        <v>416</v>
      </c>
      <c r="H89" t="s">
        <v>653</v>
      </c>
      <c r="I89" t="s">
        <v>64</v>
      </c>
      <c r="J89" t="s">
        <v>487</v>
      </c>
      <c r="L89" t="s">
        <v>654</v>
      </c>
      <c r="M89" t="s">
        <v>655</v>
      </c>
      <c r="N89" t="s">
        <v>656</v>
      </c>
      <c r="O89" t="s">
        <v>490</v>
      </c>
      <c r="P89" t="s">
        <v>657</v>
      </c>
      <c r="S89">
        <v>15386</v>
      </c>
      <c r="T89" t="s">
        <v>98</v>
      </c>
      <c r="U89" t="s">
        <v>70</v>
      </c>
      <c r="V89" s="23">
        <v>45565</v>
      </c>
      <c r="X89" t="s">
        <v>658</v>
      </c>
      <c r="Y89" s="23">
        <v>43479</v>
      </c>
      <c r="Z89" s="23">
        <v>45657</v>
      </c>
      <c r="AA89" s="23">
        <v>43705</v>
      </c>
      <c r="AB89" s="21">
        <v>37</v>
      </c>
      <c r="AC89">
        <v>41167</v>
      </c>
      <c r="AD89" t="s">
        <v>71</v>
      </c>
      <c r="AE89" t="s">
        <v>71</v>
      </c>
    </row>
    <row r="90" spans="1:31" x14ac:dyDescent="0.45">
      <c r="A90">
        <v>991577</v>
      </c>
      <c r="B90" t="s">
        <v>652</v>
      </c>
      <c r="C90" t="s">
        <v>153</v>
      </c>
      <c r="D90" t="s">
        <v>485</v>
      </c>
      <c r="E90" t="s">
        <v>0</v>
      </c>
      <c r="F90" t="s">
        <v>415</v>
      </c>
      <c r="G90" t="s">
        <v>416</v>
      </c>
      <c r="H90" t="s">
        <v>653</v>
      </c>
      <c r="I90" t="s">
        <v>64</v>
      </c>
      <c r="J90" t="s">
        <v>487</v>
      </c>
      <c r="L90" t="s">
        <v>654</v>
      </c>
      <c r="M90" t="s">
        <v>655</v>
      </c>
      <c r="N90" t="s">
        <v>656</v>
      </c>
      <c r="O90" t="s">
        <v>490</v>
      </c>
      <c r="P90" t="s">
        <v>657</v>
      </c>
      <c r="R90" t="s">
        <v>659</v>
      </c>
      <c r="S90">
        <v>15394</v>
      </c>
      <c r="T90" t="s">
        <v>543</v>
      </c>
      <c r="U90" t="s">
        <v>70</v>
      </c>
      <c r="V90" s="23">
        <v>43154</v>
      </c>
      <c r="W90" s="23">
        <v>43705</v>
      </c>
      <c r="X90" t="s">
        <v>660</v>
      </c>
      <c r="Y90" s="23">
        <v>42787</v>
      </c>
      <c r="Z90" s="23">
        <v>43705</v>
      </c>
      <c r="AA90" s="23">
        <v>42976</v>
      </c>
      <c r="AB90" s="21">
        <v>37</v>
      </c>
      <c r="AC90">
        <v>41167</v>
      </c>
      <c r="AD90" t="s">
        <v>71</v>
      </c>
      <c r="AE90" t="s">
        <v>71</v>
      </c>
    </row>
    <row r="91" spans="1:31" x14ac:dyDescent="0.45">
      <c r="A91">
        <v>991679</v>
      </c>
      <c r="B91" t="s">
        <v>661</v>
      </c>
      <c r="C91" t="s">
        <v>662</v>
      </c>
      <c r="D91" t="s">
        <v>663</v>
      </c>
      <c r="E91" t="s">
        <v>0</v>
      </c>
      <c r="F91" t="s">
        <v>415</v>
      </c>
      <c r="G91" t="s">
        <v>416</v>
      </c>
      <c r="H91" t="s">
        <v>664</v>
      </c>
      <c r="I91" t="s">
        <v>64</v>
      </c>
      <c r="J91" t="s">
        <v>332</v>
      </c>
      <c r="L91" t="s">
        <v>665</v>
      </c>
      <c r="M91" t="s">
        <v>666</v>
      </c>
      <c r="N91" t="s">
        <v>334</v>
      </c>
      <c r="O91" t="s">
        <v>530</v>
      </c>
      <c r="P91" t="s">
        <v>667</v>
      </c>
      <c r="Q91" t="s">
        <v>668</v>
      </c>
      <c r="R91" t="s">
        <v>669</v>
      </c>
      <c r="S91">
        <v>15393</v>
      </c>
      <c r="T91" t="s">
        <v>670</v>
      </c>
      <c r="U91" t="s">
        <v>70</v>
      </c>
      <c r="V91" s="23">
        <v>44183</v>
      </c>
      <c r="W91" s="23">
        <v>44273</v>
      </c>
      <c r="X91" t="s">
        <v>671</v>
      </c>
      <c r="Y91" s="23">
        <v>43154</v>
      </c>
      <c r="Z91" s="23">
        <v>44273</v>
      </c>
      <c r="AA91" s="23">
        <v>43174</v>
      </c>
      <c r="AB91" s="21">
        <v>37</v>
      </c>
      <c r="AC91">
        <v>58877</v>
      </c>
      <c r="AD91" t="s">
        <v>71</v>
      </c>
      <c r="AE91" t="s">
        <v>71</v>
      </c>
    </row>
    <row r="92" spans="1:31" x14ac:dyDescent="0.45">
      <c r="A92">
        <v>991679</v>
      </c>
      <c r="B92" t="s">
        <v>661</v>
      </c>
      <c r="C92" t="s">
        <v>662</v>
      </c>
      <c r="D92" t="s">
        <v>663</v>
      </c>
      <c r="E92" t="s">
        <v>0</v>
      </c>
      <c r="F92" t="s">
        <v>415</v>
      </c>
      <c r="G92" t="s">
        <v>416</v>
      </c>
      <c r="H92" t="s">
        <v>664</v>
      </c>
      <c r="I92" t="s">
        <v>64</v>
      </c>
      <c r="J92" t="s">
        <v>332</v>
      </c>
      <c r="L92" t="s">
        <v>665</v>
      </c>
      <c r="M92" t="s">
        <v>666</v>
      </c>
      <c r="N92" t="s">
        <v>334</v>
      </c>
      <c r="O92" t="s">
        <v>530</v>
      </c>
      <c r="P92" t="s">
        <v>667</v>
      </c>
      <c r="Q92" t="s">
        <v>668</v>
      </c>
      <c r="S92">
        <v>15395</v>
      </c>
      <c r="T92" t="s">
        <v>672</v>
      </c>
      <c r="U92" t="s">
        <v>70</v>
      </c>
      <c r="V92" s="23">
        <v>42944</v>
      </c>
      <c r="W92" s="23">
        <v>43131</v>
      </c>
      <c r="X92">
        <v>9775347</v>
      </c>
      <c r="Y92" s="23">
        <v>42023</v>
      </c>
      <c r="Z92" s="23">
        <v>43131</v>
      </c>
      <c r="AA92" s="23">
        <v>42976</v>
      </c>
      <c r="AB92" s="21">
        <v>37</v>
      </c>
      <c r="AC92">
        <v>58877</v>
      </c>
      <c r="AD92" t="s">
        <v>71</v>
      </c>
      <c r="AE92" t="s">
        <v>71</v>
      </c>
    </row>
    <row r="93" spans="1:31" x14ac:dyDescent="0.45">
      <c r="A93">
        <v>991709</v>
      </c>
      <c r="B93" t="s">
        <v>673</v>
      </c>
      <c r="C93" t="s">
        <v>211</v>
      </c>
      <c r="D93" t="s">
        <v>674</v>
      </c>
      <c r="E93" t="s">
        <v>0</v>
      </c>
      <c r="F93" t="s">
        <v>456</v>
      </c>
      <c r="G93" t="s">
        <v>675</v>
      </c>
      <c r="H93" t="s">
        <v>676</v>
      </c>
      <c r="I93" t="s">
        <v>64</v>
      </c>
      <c r="J93" t="s">
        <v>536</v>
      </c>
      <c r="L93" t="s">
        <v>677</v>
      </c>
      <c r="O93" t="s">
        <v>678</v>
      </c>
      <c r="P93" t="s">
        <v>679</v>
      </c>
      <c r="Q93">
        <v>1919039990</v>
      </c>
      <c r="S93">
        <v>15387</v>
      </c>
      <c r="T93" t="s">
        <v>680</v>
      </c>
      <c r="U93" t="s">
        <v>70</v>
      </c>
      <c r="V93" s="23">
        <v>43787</v>
      </c>
      <c r="X93" t="s">
        <v>681</v>
      </c>
      <c r="Y93" s="23">
        <v>42908</v>
      </c>
      <c r="Z93" s="23">
        <v>43848</v>
      </c>
      <c r="AA93" s="23">
        <v>42976</v>
      </c>
      <c r="AB93" s="21">
        <v>37</v>
      </c>
      <c r="AC93">
        <v>65686</v>
      </c>
      <c r="AD93" t="s">
        <v>71</v>
      </c>
      <c r="AE93" t="s">
        <v>71</v>
      </c>
    </row>
    <row r="94" spans="1:31" x14ac:dyDescent="0.45">
      <c r="A94">
        <v>991834</v>
      </c>
      <c r="B94" t="s">
        <v>682</v>
      </c>
      <c r="C94" t="s">
        <v>256</v>
      </c>
      <c r="D94" t="s">
        <v>683</v>
      </c>
      <c r="E94" t="s">
        <v>1</v>
      </c>
      <c r="F94" t="s">
        <v>604</v>
      </c>
      <c r="G94" t="s">
        <v>684</v>
      </c>
      <c r="H94" t="s">
        <v>685</v>
      </c>
      <c r="I94" t="s">
        <v>64</v>
      </c>
      <c r="J94" t="s">
        <v>105</v>
      </c>
      <c r="L94" t="s">
        <v>686</v>
      </c>
      <c r="O94" t="s">
        <v>122</v>
      </c>
      <c r="P94" t="s">
        <v>687</v>
      </c>
      <c r="Q94" t="s">
        <v>688</v>
      </c>
      <c r="S94">
        <v>15385</v>
      </c>
      <c r="T94" t="s">
        <v>69</v>
      </c>
      <c r="U94" t="s">
        <v>70</v>
      </c>
      <c r="W94" s="23">
        <v>18629</v>
      </c>
      <c r="X94" t="s">
        <v>689</v>
      </c>
      <c r="Y94" s="23">
        <v>42765</v>
      </c>
      <c r="Z94" s="23">
        <v>2958465</v>
      </c>
      <c r="AA94" s="23">
        <v>42976</v>
      </c>
      <c r="AB94" s="21">
        <v>37</v>
      </c>
      <c r="AC94">
        <v>36800</v>
      </c>
      <c r="AD94" t="s">
        <v>71</v>
      </c>
      <c r="AE94" t="s">
        <v>71</v>
      </c>
    </row>
    <row r="95" spans="1:31" x14ac:dyDescent="0.45">
      <c r="A95">
        <v>991894</v>
      </c>
      <c r="B95" t="s">
        <v>690</v>
      </c>
      <c r="C95" t="s">
        <v>153</v>
      </c>
      <c r="D95" t="s">
        <v>691</v>
      </c>
      <c r="E95" t="s">
        <v>1</v>
      </c>
      <c r="F95" t="s">
        <v>102</v>
      </c>
      <c r="G95" t="s">
        <v>147</v>
      </c>
      <c r="H95" t="s">
        <v>692</v>
      </c>
      <c r="I95" t="s">
        <v>130</v>
      </c>
      <c r="J95" t="s">
        <v>131</v>
      </c>
      <c r="L95" t="s">
        <v>693</v>
      </c>
      <c r="O95" t="s">
        <v>133</v>
      </c>
      <c r="P95" t="s">
        <v>694</v>
      </c>
      <c r="S95">
        <v>15386</v>
      </c>
      <c r="T95" t="s">
        <v>98</v>
      </c>
      <c r="U95" t="s">
        <v>70</v>
      </c>
      <c r="V95" s="23">
        <v>45565</v>
      </c>
      <c r="X95" t="s">
        <v>695</v>
      </c>
      <c r="Y95" s="23">
        <v>43582</v>
      </c>
      <c r="Z95" s="23">
        <v>45657</v>
      </c>
      <c r="AA95" s="23">
        <v>43654</v>
      </c>
      <c r="AB95" s="21">
        <v>37</v>
      </c>
      <c r="AC95">
        <v>25919</v>
      </c>
      <c r="AD95" t="s">
        <v>71</v>
      </c>
      <c r="AE95" t="s">
        <v>71</v>
      </c>
    </row>
    <row r="96" spans="1:31" x14ac:dyDescent="0.45">
      <c r="A96">
        <v>991894</v>
      </c>
      <c r="B96" t="s">
        <v>690</v>
      </c>
      <c r="C96" t="s">
        <v>153</v>
      </c>
      <c r="D96" t="s">
        <v>691</v>
      </c>
      <c r="E96" t="s">
        <v>1</v>
      </c>
      <c r="F96" t="s">
        <v>102</v>
      </c>
      <c r="G96" t="s">
        <v>147</v>
      </c>
      <c r="H96" t="s">
        <v>692</v>
      </c>
      <c r="I96" t="s">
        <v>130</v>
      </c>
      <c r="J96" t="s">
        <v>131</v>
      </c>
      <c r="L96" t="s">
        <v>693</v>
      </c>
      <c r="O96" t="s">
        <v>133</v>
      </c>
      <c r="P96" t="s">
        <v>694</v>
      </c>
      <c r="S96">
        <v>15390</v>
      </c>
      <c r="T96" t="s">
        <v>275</v>
      </c>
      <c r="U96" t="s">
        <v>70</v>
      </c>
      <c r="V96" s="23">
        <v>43161</v>
      </c>
      <c r="W96" s="23">
        <v>43520</v>
      </c>
      <c r="X96" t="s">
        <v>696</v>
      </c>
      <c r="Y96" s="23">
        <v>42424</v>
      </c>
      <c r="Z96" s="23">
        <v>43520</v>
      </c>
      <c r="AA96" s="23">
        <v>42976</v>
      </c>
      <c r="AB96" s="21">
        <v>37</v>
      </c>
      <c r="AC96">
        <v>25919</v>
      </c>
      <c r="AD96" t="s">
        <v>71</v>
      </c>
      <c r="AE96" t="s">
        <v>71</v>
      </c>
    </row>
    <row r="97" spans="1:31" x14ac:dyDescent="0.45">
      <c r="A97">
        <v>991924</v>
      </c>
      <c r="B97" t="s">
        <v>697</v>
      </c>
      <c r="C97" t="s">
        <v>698</v>
      </c>
      <c r="D97" t="s">
        <v>699</v>
      </c>
      <c r="E97" t="s">
        <v>1</v>
      </c>
      <c r="F97" t="s">
        <v>74</v>
      </c>
      <c r="G97" t="s">
        <v>700</v>
      </c>
      <c r="H97" t="s">
        <v>701</v>
      </c>
      <c r="I97" t="s">
        <v>64</v>
      </c>
      <c r="J97" t="s">
        <v>105</v>
      </c>
      <c r="K97" t="s">
        <v>65</v>
      </c>
      <c r="L97" t="s">
        <v>702</v>
      </c>
      <c r="O97" t="s">
        <v>215</v>
      </c>
      <c r="P97" t="s">
        <v>703</v>
      </c>
      <c r="S97">
        <v>15385</v>
      </c>
      <c r="T97" t="s">
        <v>69</v>
      </c>
      <c r="U97" t="s">
        <v>70</v>
      </c>
      <c r="W97" s="23">
        <v>18629</v>
      </c>
      <c r="Y97" s="23">
        <v>18629</v>
      </c>
      <c r="Z97" s="23">
        <v>2958465</v>
      </c>
      <c r="AA97" s="23">
        <v>42976</v>
      </c>
      <c r="AB97" s="21">
        <v>37</v>
      </c>
      <c r="AC97">
        <v>45484</v>
      </c>
      <c r="AD97" t="s">
        <v>71</v>
      </c>
      <c r="AE97" t="s">
        <v>71</v>
      </c>
    </row>
    <row r="98" spans="1:31" x14ac:dyDescent="0.45">
      <c r="A98">
        <v>991978</v>
      </c>
      <c r="B98" t="s">
        <v>704</v>
      </c>
      <c r="C98" t="s">
        <v>484</v>
      </c>
      <c r="D98" t="s">
        <v>705</v>
      </c>
      <c r="E98" t="s">
        <v>1</v>
      </c>
      <c r="F98" t="s">
        <v>74</v>
      </c>
      <c r="G98" t="s">
        <v>706</v>
      </c>
      <c r="H98" t="s">
        <v>707</v>
      </c>
      <c r="I98" t="s">
        <v>64</v>
      </c>
      <c r="J98" t="s">
        <v>65</v>
      </c>
      <c r="L98" t="s">
        <v>708</v>
      </c>
      <c r="M98" t="s">
        <v>709</v>
      </c>
      <c r="N98" t="s">
        <v>710</v>
      </c>
      <c r="O98" t="s">
        <v>80</v>
      </c>
      <c r="P98" t="s">
        <v>711</v>
      </c>
      <c r="S98">
        <v>15386</v>
      </c>
      <c r="T98" t="s">
        <v>98</v>
      </c>
      <c r="U98" t="s">
        <v>70</v>
      </c>
      <c r="V98" s="23">
        <v>45565</v>
      </c>
      <c r="X98" t="s">
        <v>712</v>
      </c>
      <c r="Y98" s="23">
        <v>43467</v>
      </c>
      <c r="Z98" s="23">
        <v>45657</v>
      </c>
      <c r="AA98" s="23">
        <v>43693</v>
      </c>
      <c r="AB98" s="21">
        <v>37</v>
      </c>
      <c r="AC98">
        <v>48058</v>
      </c>
      <c r="AD98" t="s">
        <v>71</v>
      </c>
      <c r="AE98" t="s">
        <v>71</v>
      </c>
    </row>
    <row r="99" spans="1:31" x14ac:dyDescent="0.45">
      <c r="A99">
        <v>991978</v>
      </c>
      <c r="B99" t="s">
        <v>704</v>
      </c>
      <c r="C99" t="s">
        <v>484</v>
      </c>
      <c r="D99" t="s">
        <v>705</v>
      </c>
      <c r="E99" t="s">
        <v>1</v>
      </c>
      <c r="F99" t="s">
        <v>74</v>
      </c>
      <c r="G99" t="s">
        <v>706</v>
      </c>
      <c r="H99" t="s">
        <v>707</v>
      </c>
      <c r="I99" t="s">
        <v>64</v>
      </c>
      <c r="J99" t="s">
        <v>65</v>
      </c>
      <c r="L99" t="s">
        <v>708</v>
      </c>
      <c r="M99" t="s">
        <v>709</v>
      </c>
      <c r="N99" t="s">
        <v>710</v>
      </c>
      <c r="O99" t="s">
        <v>80</v>
      </c>
      <c r="P99" t="s">
        <v>711</v>
      </c>
      <c r="R99" t="s">
        <v>713</v>
      </c>
      <c r="S99">
        <v>15394</v>
      </c>
      <c r="T99" t="s">
        <v>543</v>
      </c>
      <c r="U99" t="s">
        <v>70</v>
      </c>
      <c r="V99" s="23">
        <v>43043</v>
      </c>
      <c r="W99" s="23">
        <v>43693</v>
      </c>
      <c r="X99" t="s">
        <v>714</v>
      </c>
      <c r="Y99" s="23">
        <v>42656</v>
      </c>
      <c r="Z99" s="23">
        <v>43693</v>
      </c>
      <c r="AA99" s="23">
        <v>42976</v>
      </c>
      <c r="AB99" s="21">
        <v>37</v>
      </c>
      <c r="AC99">
        <v>48058</v>
      </c>
      <c r="AD99" t="s">
        <v>71</v>
      </c>
      <c r="AE99" t="s">
        <v>71</v>
      </c>
    </row>
    <row r="100" spans="1:31" x14ac:dyDescent="0.45">
      <c r="A100">
        <v>991996</v>
      </c>
      <c r="B100" t="s">
        <v>715</v>
      </c>
      <c r="C100" t="s">
        <v>192</v>
      </c>
      <c r="D100" t="s">
        <v>716</v>
      </c>
      <c r="E100" t="s">
        <v>0</v>
      </c>
      <c r="F100" t="s">
        <v>415</v>
      </c>
      <c r="G100" t="s">
        <v>416</v>
      </c>
      <c r="H100" t="s">
        <v>717</v>
      </c>
      <c r="I100" t="s">
        <v>64</v>
      </c>
      <c r="J100" t="s">
        <v>332</v>
      </c>
      <c r="L100" t="s">
        <v>718</v>
      </c>
      <c r="M100" t="s">
        <v>719</v>
      </c>
      <c r="O100" t="s">
        <v>530</v>
      </c>
      <c r="P100" t="s">
        <v>720</v>
      </c>
      <c r="S100">
        <v>15386</v>
      </c>
      <c r="T100" t="s">
        <v>98</v>
      </c>
      <c r="U100" t="s">
        <v>70</v>
      </c>
      <c r="W100" s="23">
        <v>18629</v>
      </c>
      <c r="X100" t="s">
        <v>721</v>
      </c>
      <c r="Y100" s="23">
        <v>42629</v>
      </c>
      <c r="Z100" s="23">
        <v>2958465</v>
      </c>
      <c r="AA100" s="23">
        <v>42976</v>
      </c>
      <c r="AB100" s="21">
        <v>37</v>
      </c>
      <c r="AC100">
        <v>50731</v>
      </c>
      <c r="AD100" t="s">
        <v>71</v>
      </c>
      <c r="AE100" t="s">
        <v>71</v>
      </c>
    </row>
    <row r="101" spans="1:31" x14ac:dyDescent="0.45">
      <c r="A101">
        <v>992029</v>
      </c>
      <c r="B101" t="s">
        <v>722</v>
      </c>
      <c r="C101" t="s">
        <v>312</v>
      </c>
      <c r="D101" t="s">
        <v>723</v>
      </c>
      <c r="E101" t="s">
        <v>1</v>
      </c>
      <c r="F101" t="s">
        <v>102</v>
      </c>
      <c r="G101" t="s">
        <v>103</v>
      </c>
      <c r="H101" t="s">
        <v>104</v>
      </c>
      <c r="I101" t="s">
        <v>130</v>
      </c>
      <c r="J101" t="s">
        <v>156</v>
      </c>
      <c r="L101" t="s">
        <v>724</v>
      </c>
      <c r="O101" t="s">
        <v>159</v>
      </c>
      <c r="P101" t="s">
        <v>725</v>
      </c>
      <c r="S101">
        <v>15386</v>
      </c>
      <c r="T101" t="s">
        <v>98</v>
      </c>
      <c r="U101" t="s">
        <v>70</v>
      </c>
      <c r="X101" t="s">
        <v>726</v>
      </c>
      <c r="Y101" s="23">
        <v>43157</v>
      </c>
      <c r="AA101" s="23">
        <v>43174</v>
      </c>
      <c r="AB101" s="21">
        <v>37</v>
      </c>
      <c r="AC101">
        <v>24957</v>
      </c>
      <c r="AD101" t="s">
        <v>71</v>
      </c>
      <c r="AE101" t="s">
        <v>71</v>
      </c>
    </row>
    <row r="102" spans="1:31" x14ac:dyDescent="0.45">
      <c r="A102">
        <v>992029</v>
      </c>
      <c r="B102" t="s">
        <v>722</v>
      </c>
      <c r="C102" t="s">
        <v>312</v>
      </c>
      <c r="D102" t="s">
        <v>723</v>
      </c>
      <c r="E102" t="s">
        <v>1</v>
      </c>
      <c r="F102" t="s">
        <v>102</v>
      </c>
      <c r="G102" t="s">
        <v>103</v>
      </c>
      <c r="H102" t="s">
        <v>104</v>
      </c>
      <c r="I102" t="s">
        <v>130</v>
      </c>
      <c r="J102" t="s">
        <v>156</v>
      </c>
      <c r="L102" t="s">
        <v>724</v>
      </c>
      <c r="O102" t="s">
        <v>159</v>
      </c>
      <c r="P102" t="s">
        <v>725</v>
      </c>
      <c r="S102">
        <v>15407</v>
      </c>
      <c r="T102" t="s">
        <v>474</v>
      </c>
      <c r="U102" t="s">
        <v>70</v>
      </c>
      <c r="V102" s="23">
        <v>42723</v>
      </c>
      <c r="W102" s="23">
        <v>43180</v>
      </c>
      <c r="X102" t="s">
        <v>727</v>
      </c>
      <c r="Y102" s="23">
        <v>42249</v>
      </c>
      <c r="Z102" s="23">
        <v>43180</v>
      </c>
      <c r="AA102" s="23">
        <v>42976</v>
      </c>
      <c r="AB102" s="21">
        <v>37</v>
      </c>
      <c r="AC102">
        <v>24957</v>
      </c>
      <c r="AD102" t="s">
        <v>71</v>
      </c>
      <c r="AE102" t="s">
        <v>71</v>
      </c>
    </row>
    <row r="103" spans="1:31" x14ac:dyDescent="0.45">
      <c r="A103">
        <v>992665</v>
      </c>
      <c r="B103" t="s">
        <v>728</v>
      </c>
      <c r="C103" t="s">
        <v>90</v>
      </c>
      <c r="D103" t="s">
        <v>729</v>
      </c>
      <c r="E103" t="s">
        <v>1</v>
      </c>
      <c r="F103" t="s">
        <v>102</v>
      </c>
      <c r="G103" t="s">
        <v>103</v>
      </c>
      <c r="H103" t="s">
        <v>104</v>
      </c>
      <c r="I103" t="s">
        <v>64</v>
      </c>
      <c r="J103" t="s">
        <v>131</v>
      </c>
      <c r="L103" t="s">
        <v>730</v>
      </c>
      <c r="O103" t="s">
        <v>133</v>
      </c>
      <c r="P103" t="s">
        <v>731</v>
      </c>
      <c r="S103">
        <v>15385</v>
      </c>
      <c r="T103" t="s">
        <v>69</v>
      </c>
      <c r="U103" t="s">
        <v>70</v>
      </c>
      <c r="W103" s="23">
        <v>18629</v>
      </c>
      <c r="Y103" s="23">
        <v>18629</v>
      </c>
      <c r="Z103" s="23">
        <v>2958465</v>
      </c>
      <c r="AA103" s="23">
        <v>42976</v>
      </c>
      <c r="AB103" s="21">
        <v>37</v>
      </c>
      <c r="AC103">
        <v>25531</v>
      </c>
      <c r="AD103" t="s">
        <v>71</v>
      </c>
      <c r="AE103" t="s">
        <v>71</v>
      </c>
    </row>
    <row r="104" spans="1:31" x14ac:dyDescent="0.45">
      <c r="A104">
        <v>992856</v>
      </c>
      <c r="B104" t="s">
        <v>732</v>
      </c>
      <c r="C104" t="s">
        <v>733</v>
      </c>
      <c r="D104" t="s">
        <v>734</v>
      </c>
      <c r="E104" t="s">
        <v>433</v>
      </c>
      <c r="F104" t="s">
        <v>735</v>
      </c>
      <c r="G104" t="s">
        <v>356</v>
      </c>
      <c r="H104" t="s">
        <v>736</v>
      </c>
      <c r="I104" t="s">
        <v>64</v>
      </c>
      <c r="J104" t="s">
        <v>437</v>
      </c>
      <c r="L104" t="s">
        <v>737</v>
      </c>
      <c r="O104" t="s">
        <v>80</v>
      </c>
      <c r="P104" t="s">
        <v>738</v>
      </c>
      <c r="S104">
        <v>15411</v>
      </c>
      <c r="T104" t="s">
        <v>739</v>
      </c>
      <c r="U104" t="s">
        <v>70</v>
      </c>
      <c r="V104" s="23">
        <v>44042</v>
      </c>
      <c r="X104" t="s">
        <v>740</v>
      </c>
      <c r="Y104" s="23">
        <v>42307</v>
      </c>
      <c r="Z104" s="23">
        <v>44134</v>
      </c>
      <c r="AA104" s="23">
        <v>42976</v>
      </c>
      <c r="AB104" s="21">
        <v>37</v>
      </c>
      <c r="AC104">
        <v>77850</v>
      </c>
      <c r="AD104" t="s">
        <v>71</v>
      </c>
      <c r="AE104" t="s">
        <v>71</v>
      </c>
    </row>
    <row r="105" spans="1:31" x14ac:dyDescent="0.45">
      <c r="A105">
        <v>992944</v>
      </c>
      <c r="B105" t="s">
        <v>741</v>
      </c>
      <c r="C105" t="s">
        <v>192</v>
      </c>
      <c r="D105" t="s">
        <v>742</v>
      </c>
      <c r="E105" t="s">
        <v>1</v>
      </c>
      <c r="F105" t="s">
        <v>604</v>
      </c>
      <c r="G105" t="s">
        <v>743</v>
      </c>
      <c r="H105" t="s">
        <v>436</v>
      </c>
      <c r="I105" t="s">
        <v>64</v>
      </c>
      <c r="J105" t="s">
        <v>65</v>
      </c>
      <c r="K105" t="s">
        <v>437</v>
      </c>
      <c r="L105" t="s">
        <v>744</v>
      </c>
      <c r="M105" t="s">
        <v>745</v>
      </c>
      <c r="O105" t="s">
        <v>80</v>
      </c>
      <c r="P105" t="s">
        <v>746</v>
      </c>
      <c r="S105">
        <v>15386</v>
      </c>
      <c r="T105" t="s">
        <v>98</v>
      </c>
      <c r="U105" t="s">
        <v>70</v>
      </c>
      <c r="V105" s="23">
        <v>45565</v>
      </c>
      <c r="X105" t="s">
        <v>747</v>
      </c>
      <c r="Y105" s="23">
        <v>43600</v>
      </c>
      <c r="Z105" s="23">
        <v>45657</v>
      </c>
      <c r="AA105" s="23">
        <v>43693</v>
      </c>
      <c r="AB105" s="21">
        <v>37</v>
      </c>
      <c r="AC105">
        <v>49000</v>
      </c>
      <c r="AD105" t="s">
        <v>71</v>
      </c>
      <c r="AE105" t="s">
        <v>71</v>
      </c>
    </row>
    <row r="106" spans="1:31" x14ac:dyDescent="0.45">
      <c r="A106">
        <v>992944</v>
      </c>
      <c r="B106" t="s">
        <v>741</v>
      </c>
      <c r="C106" t="s">
        <v>192</v>
      </c>
      <c r="D106" t="s">
        <v>742</v>
      </c>
      <c r="E106" t="s">
        <v>1</v>
      </c>
      <c r="F106" t="s">
        <v>604</v>
      </c>
      <c r="G106" t="s">
        <v>743</v>
      </c>
      <c r="H106" t="s">
        <v>436</v>
      </c>
      <c r="I106" t="s">
        <v>64</v>
      </c>
      <c r="J106" t="s">
        <v>65</v>
      </c>
      <c r="K106" t="s">
        <v>437</v>
      </c>
      <c r="L106" t="s">
        <v>744</v>
      </c>
      <c r="M106" t="s">
        <v>745</v>
      </c>
      <c r="O106" t="s">
        <v>80</v>
      </c>
      <c r="P106" t="s">
        <v>746</v>
      </c>
      <c r="R106" t="s">
        <v>748</v>
      </c>
      <c r="S106">
        <v>15394</v>
      </c>
      <c r="T106" t="s">
        <v>543</v>
      </c>
      <c r="U106" t="s">
        <v>70</v>
      </c>
      <c r="V106" s="23">
        <v>43006</v>
      </c>
      <c r="W106" s="23">
        <v>43693</v>
      </c>
      <c r="Y106" s="23">
        <v>42966</v>
      </c>
      <c r="Z106" s="23">
        <v>43693</v>
      </c>
      <c r="AA106" s="23">
        <v>43006</v>
      </c>
      <c r="AB106" s="21">
        <v>37</v>
      </c>
      <c r="AC106">
        <v>49000</v>
      </c>
      <c r="AD106" t="s">
        <v>71</v>
      </c>
      <c r="AE106" t="s">
        <v>71</v>
      </c>
    </row>
    <row r="107" spans="1:31" x14ac:dyDescent="0.45">
      <c r="A107">
        <v>992944</v>
      </c>
      <c r="B107" t="s">
        <v>741</v>
      </c>
      <c r="C107" t="s">
        <v>192</v>
      </c>
      <c r="D107" t="s">
        <v>742</v>
      </c>
      <c r="E107" t="s">
        <v>1</v>
      </c>
      <c r="F107" t="s">
        <v>604</v>
      </c>
      <c r="G107" t="s">
        <v>743</v>
      </c>
      <c r="H107" t="s">
        <v>436</v>
      </c>
      <c r="I107" t="s">
        <v>64</v>
      </c>
      <c r="J107" t="s">
        <v>65</v>
      </c>
      <c r="K107" t="s">
        <v>437</v>
      </c>
      <c r="L107" t="s">
        <v>744</v>
      </c>
      <c r="M107" t="s">
        <v>745</v>
      </c>
      <c r="O107" t="s">
        <v>80</v>
      </c>
      <c r="P107" t="s">
        <v>746</v>
      </c>
      <c r="R107" t="s">
        <v>749</v>
      </c>
      <c r="S107">
        <v>15393</v>
      </c>
      <c r="T107" t="s">
        <v>670</v>
      </c>
      <c r="U107" t="s">
        <v>70</v>
      </c>
      <c r="V107" s="23">
        <v>42623</v>
      </c>
      <c r="W107" s="23">
        <v>42999</v>
      </c>
      <c r="X107" t="s">
        <v>750</v>
      </c>
      <c r="Y107" s="23">
        <v>41799</v>
      </c>
      <c r="Z107" s="23">
        <v>42999</v>
      </c>
      <c r="AA107" s="23">
        <v>42976</v>
      </c>
      <c r="AB107" s="21">
        <v>37</v>
      </c>
      <c r="AC107">
        <v>49000</v>
      </c>
      <c r="AD107" t="s">
        <v>71</v>
      </c>
      <c r="AE107" t="s">
        <v>71</v>
      </c>
    </row>
    <row r="108" spans="1:31" x14ac:dyDescent="0.45">
      <c r="A108">
        <v>993010</v>
      </c>
      <c r="B108" t="s">
        <v>751</v>
      </c>
      <c r="C108" t="s">
        <v>211</v>
      </c>
      <c r="D108" t="s">
        <v>752</v>
      </c>
      <c r="E108" t="s">
        <v>0</v>
      </c>
      <c r="F108" t="s">
        <v>415</v>
      </c>
      <c r="G108" t="s">
        <v>753</v>
      </c>
      <c r="H108" t="s">
        <v>754</v>
      </c>
      <c r="I108" t="s">
        <v>64</v>
      </c>
      <c r="J108" t="s">
        <v>548</v>
      </c>
      <c r="L108" t="s">
        <v>755</v>
      </c>
      <c r="M108" t="s">
        <v>756</v>
      </c>
      <c r="O108" t="s">
        <v>757</v>
      </c>
      <c r="P108" t="s">
        <v>758</v>
      </c>
      <c r="R108" t="s">
        <v>759</v>
      </c>
      <c r="S108">
        <v>15394</v>
      </c>
      <c r="T108" t="s">
        <v>543</v>
      </c>
      <c r="U108" t="s">
        <v>70</v>
      </c>
      <c r="V108" s="23">
        <v>44007</v>
      </c>
      <c r="W108" s="23">
        <v>44099</v>
      </c>
      <c r="X108" t="s">
        <v>760</v>
      </c>
      <c r="Y108" s="23">
        <v>42987</v>
      </c>
      <c r="Z108" s="23">
        <v>44099</v>
      </c>
      <c r="AA108" s="23">
        <v>43004</v>
      </c>
      <c r="AB108" s="21">
        <v>37</v>
      </c>
      <c r="AC108">
        <v>41018</v>
      </c>
      <c r="AD108" t="s">
        <v>71</v>
      </c>
      <c r="AE108" t="s">
        <v>71</v>
      </c>
    </row>
    <row r="109" spans="1:31" x14ac:dyDescent="0.45">
      <c r="A109">
        <v>993010</v>
      </c>
      <c r="B109" t="s">
        <v>751</v>
      </c>
      <c r="C109" t="s">
        <v>211</v>
      </c>
      <c r="D109" t="s">
        <v>752</v>
      </c>
      <c r="E109" t="s">
        <v>0</v>
      </c>
      <c r="F109" t="s">
        <v>415</v>
      </c>
      <c r="G109" t="s">
        <v>753</v>
      </c>
      <c r="H109" t="s">
        <v>754</v>
      </c>
      <c r="I109" t="s">
        <v>64</v>
      </c>
      <c r="J109" t="s">
        <v>548</v>
      </c>
      <c r="L109" t="s">
        <v>755</v>
      </c>
      <c r="M109" t="s">
        <v>756</v>
      </c>
      <c r="O109" t="s">
        <v>757</v>
      </c>
      <c r="P109" t="s">
        <v>758</v>
      </c>
      <c r="R109" t="s">
        <v>761</v>
      </c>
      <c r="S109">
        <v>15393</v>
      </c>
      <c r="T109" t="s">
        <v>670</v>
      </c>
      <c r="U109" t="s">
        <v>70</v>
      </c>
      <c r="V109" s="23">
        <v>42673</v>
      </c>
      <c r="W109" s="23">
        <v>43006</v>
      </c>
      <c r="X109" t="s">
        <v>762</v>
      </c>
      <c r="Y109" s="23">
        <v>41907</v>
      </c>
      <c r="Z109" s="23">
        <v>43006</v>
      </c>
      <c r="AA109" s="23">
        <v>42976</v>
      </c>
      <c r="AB109" s="21">
        <v>37</v>
      </c>
      <c r="AC109">
        <v>41018</v>
      </c>
      <c r="AD109" t="s">
        <v>71</v>
      </c>
      <c r="AE109" t="s">
        <v>71</v>
      </c>
    </row>
    <row r="110" spans="1:31" x14ac:dyDescent="0.45">
      <c r="A110">
        <v>993306</v>
      </c>
      <c r="B110" t="s">
        <v>763</v>
      </c>
      <c r="C110" t="s">
        <v>312</v>
      </c>
      <c r="D110" t="s">
        <v>764</v>
      </c>
      <c r="E110" t="s">
        <v>1</v>
      </c>
      <c r="F110" t="s">
        <v>509</v>
      </c>
      <c r="G110" t="s">
        <v>765</v>
      </c>
      <c r="H110" t="s">
        <v>766</v>
      </c>
      <c r="I110" t="s">
        <v>64</v>
      </c>
      <c r="J110" t="s">
        <v>105</v>
      </c>
      <c r="L110" t="s">
        <v>767</v>
      </c>
      <c r="O110" t="s">
        <v>122</v>
      </c>
      <c r="P110" t="s">
        <v>768</v>
      </c>
      <c r="S110">
        <v>15386</v>
      </c>
      <c r="T110" t="s">
        <v>98</v>
      </c>
      <c r="U110" t="s">
        <v>70</v>
      </c>
      <c r="V110" s="23">
        <v>45565</v>
      </c>
      <c r="X110" t="s">
        <v>769</v>
      </c>
      <c r="Y110" s="23">
        <v>43297</v>
      </c>
      <c r="Z110" s="23">
        <v>45657</v>
      </c>
      <c r="AA110" s="23">
        <v>43301</v>
      </c>
      <c r="AB110" s="21">
        <v>37</v>
      </c>
      <c r="AC110">
        <v>26639</v>
      </c>
      <c r="AD110" t="s">
        <v>71</v>
      </c>
      <c r="AE110" t="s">
        <v>71</v>
      </c>
    </row>
    <row r="111" spans="1:31" x14ac:dyDescent="0.45">
      <c r="A111">
        <v>993306</v>
      </c>
      <c r="B111" t="s">
        <v>763</v>
      </c>
      <c r="C111" t="s">
        <v>312</v>
      </c>
      <c r="D111" t="s">
        <v>764</v>
      </c>
      <c r="E111" t="s">
        <v>1</v>
      </c>
      <c r="F111" t="s">
        <v>509</v>
      </c>
      <c r="G111" t="s">
        <v>765</v>
      </c>
      <c r="H111" t="s">
        <v>766</v>
      </c>
      <c r="I111" t="s">
        <v>64</v>
      </c>
      <c r="J111" t="s">
        <v>105</v>
      </c>
      <c r="L111" t="s">
        <v>767</v>
      </c>
      <c r="O111" t="s">
        <v>122</v>
      </c>
      <c r="P111" t="s">
        <v>768</v>
      </c>
      <c r="S111">
        <v>15389</v>
      </c>
      <c r="T111" t="s">
        <v>770</v>
      </c>
      <c r="U111" t="s">
        <v>70</v>
      </c>
      <c r="V111" s="23">
        <v>43140</v>
      </c>
      <c r="W111" s="23">
        <v>43253</v>
      </c>
      <c r="X111" t="s">
        <v>771</v>
      </c>
      <c r="Y111" s="23">
        <v>42313</v>
      </c>
      <c r="Z111" s="23">
        <v>43253</v>
      </c>
      <c r="AA111" s="23">
        <v>42976</v>
      </c>
      <c r="AB111" s="21">
        <v>37</v>
      </c>
      <c r="AC111">
        <v>26639</v>
      </c>
      <c r="AD111" t="s">
        <v>71</v>
      </c>
      <c r="AE111" t="s">
        <v>71</v>
      </c>
    </row>
    <row r="112" spans="1:31" x14ac:dyDescent="0.45">
      <c r="A112">
        <v>993395</v>
      </c>
      <c r="B112" t="s">
        <v>772</v>
      </c>
      <c r="C112" t="s">
        <v>58</v>
      </c>
      <c r="D112" t="s">
        <v>773</v>
      </c>
      <c r="E112" t="s">
        <v>0</v>
      </c>
      <c r="F112" t="s">
        <v>415</v>
      </c>
      <c r="G112" t="s">
        <v>534</v>
      </c>
      <c r="H112" t="s">
        <v>774</v>
      </c>
      <c r="I112" t="s">
        <v>64</v>
      </c>
      <c r="J112" t="s">
        <v>775</v>
      </c>
      <c r="L112" t="s">
        <v>776</v>
      </c>
      <c r="M112" t="s">
        <v>777</v>
      </c>
      <c r="O112" t="s">
        <v>778</v>
      </c>
      <c r="P112" t="s">
        <v>779</v>
      </c>
      <c r="Q112">
        <v>1797361889</v>
      </c>
      <c r="S112">
        <v>15385</v>
      </c>
      <c r="T112" t="s">
        <v>69</v>
      </c>
      <c r="U112" t="s">
        <v>70</v>
      </c>
      <c r="W112" s="23">
        <v>18629</v>
      </c>
      <c r="X112" t="s">
        <v>780</v>
      </c>
      <c r="Y112" s="23">
        <v>42151</v>
      </c>
      <c r="Z112" s="23">
        <v>2958465</v>
      </c>
      <c r="AA112" s="23">
        <v>42976</v>
      </c>
      <c r="AB112" s="21">
        <v>37</v>
      </c>
      <c r="AC112">
        <v>33446</v>
      </c>
      <c r="AD112" t="s">
        <v>71</v>
      </c>
      <c r="AE112" t="s">
        <v>71</v>
      </c>
    </row>
    <row r="113" spans="1:31" x14ac:dyDescent="0.45">
      <c r="A113">
        <v>993476</v>
      </c>
      <c r="B113" t="s">
        <v>781</v>
      </c>
      <c r="C113" t="s">
        <v>90</v>
      </c>
      <c r="D113" t="s">
        <v>782</v>
      </c>
      <c r="E113" t="s">
        <v>320</v>
      </c>
      <c r="F113" t="s">
        <v>356</v>
      </c>
      <c r="G113" t="s">
        <v>783</v>
      </c>
      <c r="H113" t="s">
        <v>784</v>
      </c>
      <c r="I113" t="s">
        <v>64</v>
      </c>
      <c r="J113" t="s">
        <v>359</v>
      </c>
      <c r="L113" t="s">
        <v>785</v>
      </c>
      <c r="O113" t="s">
        <v>786</v>
      </c>
      <c r="P113" t="s">
        <v>787</v>
      </c>
      <c r="S113">
        <v>15404</v>
      </c>
      <c r="T113" t="s">
        <v>585</v>
      </c>
      <c r="U113" t="s">
        <v>70</v>
      </c>
      <c r="V113" s="23">
        <v>43845</v>
      </c>
      <c r="X113">
        <v>9345232</v>
      </c>
      <c r="Y113" s="23">
        <v>42109</v>
      </c>
      <c r="Z113" s="23">
        <v>43936</v>
      </c>
      <c r="AA113" s="23">
        <v>42976</v>
      </c>
      <c r="AB113" s="21">
        <v>37</v>
      </c>
      <c r="AC113">
        <v>60218</v>
      </c>
      <c r="AD113" t="s">
        <v>71</v>
      </c>
      <c r="AE113" t="s">
        <v>71</v>
      </c>
    </row>
    <row r="114" spans="1:31" x14ac:dyDescent="0.45">
      <c r="A114">
        <v>993794</v>
      </c>
      <c r="B114" t="s">
        <v>788</v>
      </c>
      <c r="C114" t="s">
        <v>83</v>
      </c>
      <c r="D114" t="s">
        <v>516</v>
      </c>
      <c r="E114" t="s">
        <v>517</v>
      </c>
      <c r="F114" t="s">
        <v>518</v>
      </c>
      <c r="G114" t="s">
        <v>519</v>
      </c>
      <c r="H114" t="s">
        <v>520</v>
      </c>
      <c r="I114" t="s">
        <v>64</v>
      </c>
      <c r="J114" t="s">
        <v>180</v>
      </c>
      <c r="L114" t="s">
        <v>789</v>
      </c>
      <c r="M114" t="s">
        <v>790</v>
      </c>
      <c r="N114" t="s">
        <v>791</v>
      </c>
      <c r="O114" t="s">
        <v>792</v>
      </c>
      <c r="P114" t="s">
        <v>793</v>
      </c>
      <c r="S114">
        <v>15409</v>
      </c>
      <c r="T114" t="s">
        <v>794</v>
      </c>
      <c r="U114" t="s">
        <v>70</v>
      </c>
      <c r="V114" s="23">
        <v>43846</v>
      </c>
      <c r="X114" t="s">
        <v>795</v>
      </c>
      <c r="Y114" s="23">
        <v>42829</v>
      </c>
      <c r="Z114" s="23">
        <v>43937</v>
      </c>
      <c r="AA114" s="23">
        <v>43011</v>
      </c>
      <c r="AB114" s="21">
        <v>37</v>
      </c>
      <c r="AC114">
        <v>24700</v>
      </c>
      <c r="AD114" t="s">
        <v>71</v>
      </c>
      <c r="AE114" t="s">
        <v>71</v>
      </c>
    </row>
    <row r="115" spans="1:31" x14ac:dyDescent="0.45">
      <c r="A115">
        <v>993794</v>
      </c>
      <c r="B115" t="s">
        <v>788</v>
      </c>
      <c r="C115" t="s">
        <v>83</v>
      </c>
      <c r="D115" t="s">
        <v>516</v>
      </c>
      <c r="E115" t="s">
        <v>517</v>
      </c>
      <c r="F115" t="s">
        <v>518</v>
      </c>
      <c r="G115" t="s">
        <v>519</v>
      </c>
      <c r="H115" t="s">
        <v>520</v>
      </c>
      <c r="I115" t="s">
        <v>64</v>
      </c>
      <c r="J115" t="s">
        <v>180</v>
      </c>
      <c r="L115" t="s">
        <v>789</v>
      </c>
      <c r="M115" t="s">
        <v>790</v>
      </c>
      <c r="N115" t="s">
        <v>791</v>
      </c>
      <c r="O115" t="s">
        <v>792</v>
      </c>
      <c r="P115" t="s">
        <v>793</v>
      </c>
      <c r="S115">
        <v>15395</v>
      </c>
      <c r="T115" t="s">
        <v>672</v>
      </c>
      <c r="U115" t="s">
        <v>70</v>
      </c>
      <c r="V115" s="23">
        <v>42606</v>
      </c>
      <c r="X115">
        <v>9653929</v>
      </c>
      <c r="Y115" s="23">
        <v>18629</v>
      </c>
      <c r="Z115" s="23">
        <v>43087</v>
      </c>
      <c r="AA115" s="23">
        <v>42976</v>
      </c>
      <c r="AB115" s="21">
        <v>37</v>
      </c>
      <c r="AC115">
        <v>24700</v>
      </c>
      <c r="AD115" t="s">
        <v>71</v>
      </c>
      <c r="AE115" t="s">
        <v>71</v>
      </c>
    </row>
    <row r="116" spans="1:31" x14ac:dyDescent="0.45">
      <c r="A116">
        <v>993857</v>
      </c>
      <c r="B116" t="s">
        <v>796</v>
      </c>
      <c r="C116" t="s">
        <v>153</v>
      </c>
      <c r="D116" t="s">
        <v>797</v>
      </c>
      <c r="E116" t="s">
        <v>433</v>
      </c>
      <c r="F116" t="s">
        <v>798</v>
      </c>
      <c r="G116" t="s">
        <v>799</v>
      </c>
      <c r="H116" t="s">
        <v>800</v>
      </c>
      <c r="I116" t="s">
        <v>64</v>
      </c>
      <c r="J116" t="s">
        <v>437</v>
      </c>
      <c r="L116" t="s">
        <v>801</v>
      </c>
      <c r="O116" t="s">
        <v>80</v>
      </c>
      <c r="P116" t="s">
        <v>802</v>
      </c>
      <c r="R116" t="s">
        <v>803</v>
      </c>
      <c r="S116">
        <v>15394</v>
      </c>
      <c r="T116" t="s">
        <v>543</v>
      </c>
      <c r="U116" t="s">
        <v>70</v>
      </c>
      <c r="V116" s="23">
        <v>44295</v>
      </c>
      <c r="W116" s="23">
        <v>44386</v>
      </c>
      <c r="X116" t="s">
        <v>804</v>
      </c>
      <c r="Y116" s="23">
        <v>43363</v>
      </c>
      <c r="Z116" s="23">
        <v>44386</v>
      </c>
      <c r="AA116" s="23">
        <v>42976</v>
      </c>
      <c r="AB116" s="21">
        <v>37</v>
      </c>
      <c r="AC116">
        <v>43570</v>
      </c>
      <c r="AD116" t="s">
        <v>71</v>
      </c>
      <c r="AE116" t="s">
        <v>71</v>
      </c>
    </row>
    <row r="117" spans="1:31" x14ac:dyDescent="0.45">
      <c r="A117">
        <v>993929</v>
      </c>
      <c r="B117" t="s">
        <v>805</v>
      </c>
      <c r="C117" t="s">
        <v>58</v>
      </c>
      <c r="D117" t="s">
        <v>806</v>
      </c>
      <c r="E117" t="s">
        <v>1</v>
      </c>
      <c r="F117" t="s">
        <v>102</v>
      </c>
      <c r="G117" t="s">
        <v>170</v>
      </c>
      <c r="H117" t="s">
        <v>807</v>
      </c>
      <c r="I117" t="s">
        <v>808</v>
      </c>
      <c r="J117" t="s">
        <v>281</v>
      </c>
      <c r="K117" t="s">
        <v>77</v>
      </c>
      <c r="L117" t="s">
        <v>809</v>
      </c>
      <c r="M117" t="s">
        <v>810</v>
      </c>
      <c r="O117" t="s">
        <v>80</v>
      </c>
      <c r="P117" t="s">
        <v>811</v>
      </c>
      <c r="S117">
        <v>15386</v>
      </c>
      <c r="T117" t="s">
        <v>98</v>
      </c>
      <c r="U117" t="s">
        <v>70</v>
      </c>
      <c r="W117" s="23">
        <v>18629</v>
      </c>
      <c r="X117" t="s">
        <v>812</v>
      </c>
      <c r="Y117" s="23">
        <v>42076</v>
      </c>
      <c r="Z117" s="23">
        <v>2958465</v>
      </c>
      <c r="AA117" s="23">
        <v>42976</v>
      </c>
      <c r="AB117" s="21">
        <v>40</v>
      </c>
      <c r="AC117">
        <v>27263</v>
      </c>
      <c r="AD117" t="s">
        <v>71</v>
      </c>
      <c r="AE117" t="s">
        <v>71</v>
      </c>
    </row>
    <row r="118" spans="1:31" x14ac:dyDescent="0.45">
      <c r="A118">
        <v>994816</v>
      </c>
      <c r="B118" t="s">
        <v>813</v>
      </c>
      <c r="C118" t="s">
        <v>192</v>
      </c>
      <c r="D118" t="s">
        <v>814</v>
      </c>
      <c r="E118" t="s">
        <v>320</v>
      </c>
      <c r="F118" t="s">
        <v>356</v>
      </c>
      <c r="G118" t="s">
        <v>357</v>
      </c>
      <c r="H118" t="s">
        <v>815</v>
      </c>
      <c r="I118" t="s">
        <v>64</v>
      </c>
      <c r="J118" t="s">
        <v>320</v>
      </c>
      <c r="L118" t="s">
        <v>816</v>
      </c>
      <c r="O118" t="s">
        <v>817</v>
      </c>
      <c r="P118" t="s">
        <v>818</v>
      </c>
      <c r="S118">
        <v>15409</v>
      </c>
      <c r="T118" t="s">
        <v>794</v>
      </c>
      <c r="U118" t="s">
        <v>70</v>
      </c>
      <c r="V118" s="23">
        <v>43812</v>
      </c>
      <c r="X118" t="s">
        <v>819</v>
      </c>
      <c r="Y118" s="23">
        <v>43150</v>
      </c>
      <c r="Z118" s="23">
        <v>43904</v>
      </c>
      <c r="AA118" s="23">
        <v>43178</v>
      </c>
      <c r="AB118" s="21">
        <v>37</v>
      </c>
      <c r="AC118">
        <v>39539</v>
      </c>
      <c r="AD118" t="s">
        <v>71</v>
      </c>
      <c r="AE118" t="s">
        <v>71</v>
      </c>
    </row>
    <row r="119" spans="1:31" x14ac:dyDescent="0.45">
      <c r="A119">
        <v>994816</v>
      </c>
      <c r="B119" t="s">
        <v>813</v>
      </c>
      <c r="C119" t="s">
        <v>192</v>
      </c>
      <c r="D119" t="s">
        <v>814</v>
      </c>
      <c r="E119" t="s">
        <v>320</v>
      </c>
      <c r="F119" t="s">
        <v>356</v>
      </c>
      <c r="G119" t="s">
        <v>357</v>
      </c>
      <c r="H119" t="s">
        <v>815</v>
      </c>
      <c r="I119" t="s">
        <v>64</v>
      </c>
      <c r="J119" t="s">
        <v>320</v>
      </c>
      <c r="L119" t="s">
        <v>816</v>
      </c>
      <c r="O119" t="s">
        <v>817</v>
      </c>
      <c r="P119" t="s">
        <v>818</v>
      </c>
      <c r="S119">
        <v>15409</v>
      </c>
      <c r="T119" t="s">
        <v>794</v>
      </c>
      <c r="U119" t="s">
        <v>70</v>
      </c>
      <c r="V119" s="23">
        <v>42779</v>
      </c>
      <c r="X119" t="s">
        <v>820</v>
      </c>
      <c r="Y119" s="23">
        <v>42751</v>
      </c>
      <c r="Z119" s="23">
        <v>43173</v>
      </c>
      <c r="AA119" s="23">
        <v>42976</v>
      </c>
      <c r="AB119" s="21">
        <v>37</v>
      </c>
      <c r="AC119">
        <v>39539</v>
      </c>
      <c r="AD119" t="s">
        <v>71</v>
      </c>
      <c r="AE119" t="s">
        <v>71</v>
      </c>
    </row>
    <row r="120" spans="1:31" x14ac:dyDescent="0.45">
      <c r="A120">
        <v>994842</v>
      </c>
      <c r="B120" t="s">
        <v>821</v>
      </c>
      <c r="C120" t="s">
        <v>278</v>
      </c>
      <c r="D120" t="s">
        <v>822</v>
      </c>
      <c r="E120" t="s">
        <v>0</v>
      </c>
      <c r="F120" t="s">
        <v>415</v>
      </c>
      <c r="G120" t="s">
        <v>534</v>
      </c>
      <c r="H120" t="s">
        <v>823</v>
      </c>
      <c r="I120" t="s">
        <v>64</v>
      </c>
      <c r="J120" t="s">
        <v>775</v>
      </c>
      <c r="L120" t="s">
        <v>824</v>
      </c>
      <c r="O120" t="s">
        <v>825</v>
      </c>
      <c r="P120" t="s">
        <v>826</v>
      </c>
      <c r="R120" t="s">
        <v>827</v>
      </c>
      <c r="S120">
        <v>15394</v>
      </c>
      <c r="T120" t="s">
        <v>543</v>
      </c>
      <c r="U120" t="s">
        <v>70</v>
      </c>
      <c r="V120" s="23">
        <v>44713</v>
      </c>
      <c r="W120" s="23">
        <v>44805</v>
      </c>
      <c r="X120" t="s">
        <v>828</v>
      </c>
      <c r="Y120" s="23">
        <v>43721</v>
      </c>
      <c r="Z120" s="23">
        <v>44805</v>
      </c>
      <c r="AA120" s="23">
        <v>43789</v>
      </c>
      <c r="AB120" s="21">
        <v>37</v>
      </c>
      <c r="AC120">
        <v>34809</v>
      </c>
      <c r="AD120" t="s">
        <v>71</v>
      </c>
      <c r="AE120" t="s">
        <v>71</v>
      </c>
    </row>
    <row r="121" spans="1:31" x14ac:dyDescent="0.45">
      <c r="A121">
        <v>994842</v>
      </c>
      <c r="B121" t="s">
        <v>821</v>
      </c>
      <c r="C121" t="s">
        <v>278</v>
      </c>
      <c r="D121" t="s">
        <v>822</v>
      </c>
      <c r="E121" t="s">
        <v>0</v>
      </c>
      <c r="F121" t="s">
        <v>415</v>
      </c>
      <c r="G121" t="s">
        <v>534</v>
      </c>
      <c r="H121" t="s">
        <v>823</v>
      </c>
      <c r="I121" t="s">
        <v>64</v>
      </c>
      <c r="J121" t="s">
        <v>775</v>
      </c>
      <c r="L121" t="s">
        <v>824</v>
      </c>
      <c r="O121" t="s">
        <v>825</v>
      </c>
      <c r="P121" t="s">
        <v>826</v>
      </c>
      <c r="R121" t="s">
        <v>829</v>
      </c>
      <c r="S121">
        <v>15393</v>
      </c>
      <c r="T121" t="s">
        <v>670</v>
      </c>
      <c r="U121" t="s">
        <v>70</v>
      </c>
      <c r="V121" s="23">
        <v>43672</v>
      </c>
      <c r="W121" s="23">
        <v>43727</v>
      </c>
      <c r="X121" t="s">
        <v>830</v>
      </c>
      <c r="Y121" s="23">
        <v>42614</v>
      </c>
      <c r="Z121" s="23">
        <v>43727</v>
      </c>
      <c r="AA121" s="23">
        <v>42976</v>
      </c>
      <c r="AB121" s="21">
        <v>37</v>
      </c>
      <c r="AC121">
        <v>34809</v>
      </c>
      <c r="AD121" t="s">
        <v>71</v>
      </c>
      <c r="AE121" t="s">
        <v>71</v>
      </c>
    </row>
    <row r="122" spans="1:31" x14ac:dyDescent="0.45">
      <c r="A122">
        <v>994882</v>
      </c>
      <c r="B122" t="s">
        <v>831</v>
      </c>
      <c r="C122" t="s">
        <v>662</v>
      </c>
      <c r="D122" t="s">
        <v>832</v>
      </c>
      <c r="E122" t="s">
        <v>294</v>
      </c>
      <c r="F122" t="s">
        <v>833</v>
      </c>
      <c r="G122" t="s">
        <v>834</v>
      </c>
      <c r="H122" t="s">
        <v>835</v>
      </c>
      <c r="I122" t="s">
        <v>64</v>
      </c>
      <c r="J122" t="s">
        <v>332</v>
      </c>
      <c r="L122" t="s">
        <v>836</v>
      </c>
      <c r="M122" t="s">
        <v>837</v>
      </c>
      <c r="N122" t="s">
        <v>838</v>
      </c>
      <c r="O122" t="s">
        <v>530</v>
      </c>
      <c r="P122" t="s">
        <v>839</v>
      </c>
      <c r="S122">
        <v>15386</v>
      </c>
      <c r="T122" t="s">
        <v>98</v>
      </c>
      <c r="U122" t="s">
        <v>70</v>
      </c>
      <c r="V122" s="23">
        <v>45565</v>
      </c>
      <c r="X122" t="s">
        <v>840</v>
      </c>
      <c r="Y122" s="23">
        <v>43444</v>
      </c>
      <c r="Z122" s="23">
        <v>45657</v>
      </c>
      <c r="AA122" s="23">
        <v>43514</v>
      </c>
      <c r="AB122" s="21">
        <v>37</v>
      </c>
      <c r="AC122">
        <v>57053</v>
      </c>
      <c r="AD122" t="s">
        <v>71</v>
      </c>
      <c r="AE122" t="s">
        <v>71</v>
      </c>
    </row>
    <row r="123" spans="1:31" x14ac:dyDescent="0.45">
      <c r="A123">
        <v>994882</v>
      </c>
      <c r="B123" t="s">
        <v>831</v>
      </c>
      <c r="C123" t="s">
        <v>662</v>
      </c>
      <c r="D123" t="s">
        <v>832</v>
      </c>
      <c r="E123" t="s">
        <v>294</v>
      </c>
      <c r="F123" t="s">
        <v>833</v>
      </c>
      <c r="G123" t="s">
        <v>834</v>
      </c>
      <c r="H123" t="s">
        <v>835</v>
      </c>
      <c r="I123" t="s">
        <v>64</v>
      </c>
      <c r="J123" t="s">
        <v>332</v>
      </c>
      <c r="L123" t="s">
        <v>836</v>
      </c>
      <c r="M123" t="s">
        <v>837</v>
      </c>
      <c r="N123" t="s">
        <v>838</v>
      </c>
      <c r="O123" t="s">
        <v>530</v>
      </c>
      <c r="P123" t="s">
        <v>839</v>
      </c>
      <c r="R123" t="s">
        <v>841</v>
      </c>
      <c r="S123">
        <v>15409</v>
      </c>
      <c r="T123" t="s">
        <v>794</v>
      </c>
      <c r="U123" t="s">
        <v>70</v>
      </c>
      <c r="V123" s="23">
        <v>43040</v>
      </c>
      <c r="X123" t="s">
        <v>841</v>
      </c>
      <c r="Y123" s="23">
        <v>42381</v>
      </c>
      <c r="Z123" s="23">
        <v>43498</v>
      </c>
      <c r="AA123" s="23">
        <v>42976</v>
      </c>
      <c r="AB123" s="21">
        <v>37</v>
      </c>
      <c r="AC123">
        <v>57053</v>
      </c>
      <c r="AD123" t="s">
        <v>71</v>
      </c>
      <c r="AE123" t="s">
        <v>71</v>
      </c>
    </row>
    <row r="124" spans="1:31" x14ac:dyDescent="0.45">
      <c r="A124">
        <v>994980</v>
      </c>
      <c r="B124" t="s">
        <v>842</v>
      </c>
      <c r="C124" t="s">
        <v>379</v>
      </c>
      <c r="D124" t="s">
        <v>843</v>
      </c>
      <c r="E124" t="s">
        <v>320</v>
      </c>
      <c r="F124" t="s">
        <v>844</v>
      </c>
      <c r="G124" t="s">
        <v>845</v>
      </c>
      <c r="H124" t="s">
        <v>846</v>
      </c>
      <c r="I124" t="s">
        <v>64</v>
      </c>
      <c r="J124" t="s">
        <v>359</v>
      </c>
      <c r="L124" t="s">
        <v>847</v>
      </c>
      <c r="M124" t="s">
        <v>848</v>
      </c>
      <c r="N124" t="s">
        <v>849</v>
      </c>
      <c r="O124" t="s">
        <v>850</v>
      </c>
      <c r="P124" t="s">
        <v>851</v>
      </c>
      <c r="R124" t="s">
        <v>852</v>
      </c>
      <c r="S124">
        <v>15393</v>
      </c>
      <c r="T124" t="s">
        <v>670</v>
      </c>
      <c r="U124" t="s">
        <v>70</v>
      </c>
      <c r="V124" s="23">
        <v>43672</v>
      </c>
      <c r="W124" s="23">
        <v>43727</v>
      </c>
      <c r="X124" t="s">
        <v>853</v>
      </c>
      <c r="Y124" s="23">
        <v>42641</v>
      </c>
      <c r="Z124" s="23">
        <v>43727</v>
      </c>
      <c r="AA124" s="23">
        <v>42976</v>
      </c>
      <c r="AB124" s="21">
        <v>37</v>
      </c>
      <c r="AC124">
        <v>37985</v>
      </c>
      <c r="AD124" t="s">
        <v>71</v>
      </c>
      <c r="AE124" t="s">
        <v>71</v>
      </c>
    </row>
    <row r="125" spans="1:31" x14ac:dyDescent="0.45">
      <c r="A125">
        <v>995008</v>
      </c>
      <c r="B125" t="s">
        <v>854</v>
      </c>
      <c r="C125" t="s">
        <v>58</v>
      </c>
      <c r="D125" t="s">
        <v>855</v>
      </c>
      <c r="E125" t="s">
        <v>1</v>
      </c>
      <c r="F125" t="s">
        <v>102</v>
      </c>
      <c r="G125" t="s">
        <v>170</v>
      </c>
      <c r="H125" t="s">
        <v>807</v>
      </c>
      <c r="I125" t="s">
        <v>808</v>
      </c>
      <c r="J125" t="s">
        <v>281</v>
      </c>
      <c r="K125" t="s">
        <v>131</v>
      </c>
      <c r="L125" t="s">
        <v>856</v>
      </c>
      <c r="O125" t="s">
        <v>133</v>
      </c>
      <c r="P125" t="s">
        <v>857</v>
      </c>
      <c r="S125">
        <v>15386</v>
      </c>
      <c r="T125" t="s">
        <v>98</v>
      </c>
      <c r="U125" t="s">
        <v>70</v>
      </c>
      <c r="W125" s="23">
        <v>18629</v>
      </c>
      <c r="X125" t="s">
        <v>858</v>
      </c>
      <c r="Y125" s="23">
        <v>40764</v>
      </c>
      <c r="Z125" s="23">
        <v>2958465</v>
      </c>
      <c r="AA125" s="23">
        <v>42976</v>
      </c>
      <c r="AB125" s="21">
        <v>40</v>
      </c>
      <c r="AC125">
        <v>27263</v>
      </c>
      <c r="AD125" t="s">
        <v>71</v>
      </c>
      <c r="AE125" t="s">
        <v>71</v>
      </c>
    </row>
    <row r="126" spans="1:31" x14ac:dyDescent="0.45">
      <c r="A126">
        <v>995355</v>
      </c>
      <c r="B126" t="s">
        <v>859</v>
      </c>
      <c r="C126" t="s">
        <v>860</v>
      </c>
      <c r="D126" t="s">
        <v>111</v>
      </c>
      <c r="E126" t="s">
        <v>60</v>
      </c>
      <c r="F126" t="s">
        <v>61</v>
      </c>
      <c r="G126" t="s">
        <v>112</v>
      </c>
      <c r="H126" t="s">
        <v>861</v>
      </c>
      <c r="I126" t="s">
        <v>64</v>
      </c>
      <c r="J126" t="s">
        <v>114</v>
      </c>
      <c r="L126" t="s">
        <v>862</v>
      </c>
      <c r="M126" t="s">
        <v>863</v>
      </c>
      <c r="O126" t="s">
        <v>80</v>
      </c>
      <c r="P126" t="s">
        <v>864</v>
      </c>
      <c r="R126" t="s">
        <v>865</v>
      </c>
      <c r="S126">
        <v>15393</v>
      </c>
      <c r="T126" t="s">
        <v>670</v>
      </c>
      <c r="U126" t="s">
        <v>70</v>
      </c>
      <c r="V126" s="23">
        <v>43818</v>
      </c>
      <c r="W126" s="23">
        <v>43909</v>
      </c>
      <c r="X126" t="s">
        <v>866</v>
      </c>
      <c r="Y126" s="23">
        <v>42796</v>
      </c>
      <c r="Z126" s="23">
        <v>43909</v>
      </c>
      <c r="AA126" s="23">
        <v>42976</v>
      </c>
      <c r="AB126" s="21">
        <v>37</v>
      </c>
      <c r="AC126">
        <v>51000</v>
      </c>
      <c r="AD126" t="s">
        <v>71</v>
      </c>
      <c r="AE126" t="s">
        <v>71</v>
      </c>
    </row>
    <row r="127" spans="1:31" x14ac:dyDescent="0.45">
      <c r="A127">
        <v>995565</v>
      </c>
      <c r="B127" t="s">
        <v>867</v>
      </c>
      <c r="C127" t="s">
        <v>868</v>
      </c>
      <c r="D127" t="s">
        <v>869</v>
      </c>
      <c r="E127" t="s">
        <v>1</v>
      </c>
      <c r="F127" t="s">
        <v>102</v>
      </c>
      <c r="G127" t="s">
        <v>170</v>
      </c>
      <c r="H127" t="s">
        <v>870</v>
      </c>
      <c r="I127" t="s">
        <v>808</v>
      </c>
      <c r="J127" t="s">
        <v>281</v>
      </c>
      <c r="K127" t="s">
        <v>77</v>
      </c>
      <c r="L127" t="s">
        <v>871</v>
      </c>
      <c r="M127" t="s">
        <v>872</v>
      </c>
      <c r="O127" t="s">
        <v>873</v>
      </c>
      <c r="P127" t="s">
        <v>874</v>
      </c>
      <c r="S127">
        <v>15407</v>
      </c>
      <c r="T127" t="s">
        <v>474</v>
      </c>
      <c r="U127" t="s">
        <v>70</v>
      </c>
      <c r="V127" s="23">
        <v>44634</v>
      </c>
      <c r="X127" t="s">
        <v>875</v>
      </c>
      <c r="Y127" s="23">
        <v>42900</v>
      </c>
      <c r="Z127" s="23">
        <v>44726</v>
      </c>
      <c r="AA127" s="23">
        <v>42976</v>
      </c>
      <c r="AB127" s="21">
        <v>40</v>
      </c>
      <c r="AC127">
        <v>27263</v>
      </c>
      <c r="AD127" t="s">
        <v>71</v>
      </c>
      <c r="AE127" t="s">
        <v>71</v>
      </c>
    </row>
    <row r="128" spans="1:31" x14ac:dyDescent="0.45">
      <c r="A128">
        <v>996177</v>
      </c>
      <c r="B128" t="s">
        <v>876</v>
      </c>
      <c r="C128" t="s">
        <v>877</v>
      </c>
      <c r="D128" t="s">
        <v>878</v>
      </c>
      <c r="E128" t="s">
        <v>320</v>
      </c>
      <c r="F128" t="s">
        <v>363</v>
      </c>
      <c r="G128" t="s">
        <v>879</v>
      </c>
      <c r="H128" t="s">
        <v>598</v>
      </c>
      <c r="I128" t="s">
        <v>64</v>
      </c>
      <c r="J128" t="s">
        <v>320</v>
      </c>
      <c r="L128" t="s">
        <v>880</v>
      </c>
      <c r="M128" t="s">
        <v>881</v>
      </c>
      <c r="O128" t="s">
        <v>850</v>
      </c>
      <c r="P128" t="s">
        <v>882</v>
      </c>
      <c r="S128">
        <v>15386</v>
      </c>
      <c r="T128" t="s">
        <v>98</v>
      </c>
      <c r="U128" t="s">
        <v>70</v>
      </c>
      <c r="V128" s="23">
        <v>45565</v>
      </c>
      <c r="X128" t="s">
        <v>883</v>
      </c>
      <c r="Y128" s="23">
        <v>43571</v>
      </c>
      <c r="Z128" s="23">
        <v>45657</v>
      </c>
      <c r="AA128" s="23">
        <v>43654</v>
      </c>
      <c r="AB128" s="21">
        <v>37</v>
      </c>
      <c r="AC128">
        <v>35784</v>
      </c>
      <c r="AD128" t="s">
        <v>71</v>
      </c>
      <c r="AE128" t="s">
        <v>71</v>
      </c>
    </row>
    <row r="129" spans="1:31" x14ac:dyDescent="0.45">
      <c r="A129">
        <v>996177</v>
      </c>
      <c r="B129" t="s">
        <v>876</v>
      </c>
      <c r="C129" t="s">
        <v>877</v>
      </c>
      <c r="D129" t="s">
        <v>878</v>
      </c>
      <c r="E129" t="s">
        <v>320</v>
      </c>
      <c r="F129" t="s">
        <v>363</v>
      </c>
      <c r="G129" t="s">
        <v>879</v>
      </c>
      <c r="H129" t="s">
        <v>598</v>
      </c>
      <c r="I129" t="s">
        <v>64</v>
      </c>
      <c r="J129" t="s">
        <v>320</v>
      </c>
      <c r="L129" t="s">
        <v>880</v>
      </c>
      <c r="M129" t="s">
        <v>881</v>
      </c>
      <c r="O129" t="s">
        <v>850</v>
      </c>
      <c r="P129" t="s">
        <v>882</v>
      </c>
      <c r="S129">
        <v>15408</v>
      </c>
      <c r="T129" t="s">
        <v>273</v>
      </c>
      <c r="U129" t="s">
        <v>70</v>
      </c>
      <c r="V129" s="23">
        <v>43143</v>
      </c>
      <c r="X129" t="s">
        <v>884</v>
      </c>
      <c r="Y129" s="23">
        <v>41639</v>
      </c>
      <c r="Z129" s="23">
        <v>43465</v>
      </c>
      <c r="AA129" s="23">
        <v>43178</v>
      </c>
      <c r="AB129" s="21">
        <v>37</v>
      </c>
      <c r="AC129">
        <v>35784</v>
      </c>
      <c r="AD129" t="s">
        <v>71</v>
      </c>
      <c r="AE129" t="s">
        <v>71</v>
      </c>
    </row>
    <row r="130" spans="1:31" x14ac:dyDescent="0.45">
      <c r="A130">
        <v>996195</v>
      </c>
      <c r="B130" t="s">
        <v>885</v>
      </c>
      <c r="C130" t="s">
        <v>192</v>
      </c>
      <c r="D130" t="s">
        <v>886</v>
      </c>
      <c r="E130" t="s">
        <v>433</v>
      </c>
      <c r="F130" t="s">
        <v>735</v>
      </c>
      <c r="G130" t="s">
        <v>356</v>
      </c>
      <c r="H130" t="s">
        <v>887</v>
      </c>
      <c r="I130" t="s">
        <v>64</v>
      </c>
      <c r="J130" t="s">
        <v>888</v>
      </c>
      <c r="L130" t="s">
        <v>889</v>
      </c>
      <c r="O130" t="s">
        <v>539</v>
      </c>
      <c r="P130" t="s">
        <v>890</v>
      </c>
      <c r="R130" t="s">
        <v>891</v>
      </c>
      <c r="S130">
        <v>15394</v>
      </c>
      <c r="T130" t="s">
        <v>543</v>
      </c>
      <c r="U130" t="s">
        <v>70</v>
      </c>
      <c r="V130" s="23">
        <v>45128</v>
      </c>
      <c r="W130" s="23">
        <v>45220</v>
      </c>
      <c r="X130" t="s">
        <v>892</v>
      </c>
      <c r="Y130" s="23">
        <v>43700</v>
      </c>
      <c r="Z130" s="23">
        <v>45220</v>
      </c>
      <c r="AA130" s="23">
        <v>43718</v>
      </c>
      <c r="AB130" s="21">
        <v>37</v>
      </c>
      <c r="AC130">
        <v>33100</v>
      </c>
      <c r="AD130" t="s">
        <v>71</v>
      </c>
      <c r="AE130" t="s">
        <v>71</v>
      </c>
    </row>
    <row r="131" spans="1:31" x14ac:dyDescent="0.45">
      <c r="A131">
        <v>996195</v>
      </c>
      <c r="B131" t="s">
        <v>885</v>
      </c>
      <c r="C131" t="s">
        <v>192</v>
      </c>
      <c r="D131" t="s">
        <v>886</v>
      </c>
      <c r="E131" t="s">
        <v>433</v>
      </c>
      <c r="F131" t="s">
        <v>735</v>
      </c>
      <c r="G131" t="s">
        <v>356</v>
      </c>
      <c r="H131" t="s">
        <v>887</v>
      </c>
      <c r="I131" t="s">
        <v>64</v>
      </c>
      <c r="J131" t="s">
        <v>888</v>
      </c>
      <c r="L131" t="s">
        <v>889</v>
      </c>
      <c r="O131" t="s">
        <v>539</v>
      </c>
      <c r="P131" t="s">
        <v>890</v>
      </c>
      <c r="R131" t="s">
        <v>893</v>
      </c>
      <c r="S131">
        <v>15393</v>
      </c>
      <c r="T131" t="s">
        <v>670</v>
      </c>
      <c r="U131" t="s">
        <v>70</v>
      </c>
      <c r="V131" s="23">
        <v>43672</v>
      </c>
      <c r="W131" s="23">
        <v>43003</v>
      </c>
      <c r="X131" t="s">
        <v>894</v>
      </c>
      <c r="Y131" s="23">
        <v>43029</v>
      </c>
      <c r="Z131" s="23">
        <v>43733</v>
      </c>
      <c r="AA131" s="23">
        <v>43178</v>
      </c>
      <c r="AB131" s="21">
        <v>37</v>
      </c>
      <c r="AC131">
        <v>33100</v>
      </c>
      <c r="AD131" t="s">
        <v>71</v>
      </c>
      <c r="AE131" t="s">
        <v>71</v>
      </c>
    </row>
    <row r="132" spans="1:31" x14ac:dyDescent="0.45">
      <c r="A132">
        <v>10009327</v>
      </c>
      <c r="B132" t="s">
        <v>895</v>
      </c>
      <c r="C132" t="s">
        <v>153</v>
      </c>
      <c r="D132" t="s">
        <v>896</v>
      </c>
      <c r="E132" t="s">
        <v>0</v>
      </c>
      <c r="F132" t="s">
        <v>415</v>
      </c>
      <c r="G132" t="s">
        <v>416</v>
      </c>
      <c r="H132" t="s">
        <v>897</v>
      </c>
      <c r="I132" t="s">
        <v>64</v>
      </c>
      <c r="J132" t="s">
        <v>898</v>
      </c>
      <c r="L132" t="s">
        <v>899</v>
      </c>
      <c r="O132" t="s">
        <v>900</v>
      </c>
      <c r="P132" t="s">
        <v>901</v>
      </c>
      <c r="S132">
        <v>15385</v>
      </c>
      <c r="T132" t="s">
        <v>69</v>
      </c>
      <c r="U132" t="s">
        <v>70</v>
      </c>
      <c r="W132" s="23">
        <v>18629</v>
      </c>
      <c r="X132">
        <v>111426852</v>
      </c>
      <c r="Y132" s="23">
        <v>40200</v>
      </c>
      <c r="Z132" s="23">
        <v>2958465</v>
      </c>
      <c r="AA132" s="23">
        <v>42976</v>
      </c>
      <c r="AB132" s="21">
        <v>37</v>
      </c>
      <c r="AC132">
        <v>66822</v>
      </c>
      <c r="AD132" t="s">
        <v>71</v>
      </c>
      <c r="AE132" t="s">
        <v>71</v>
      </c>
    </row>
    <row r="133" spans="1:31" x14ac:dyDescent="0.45">
      <c r="A133">
        <v>10009381</v>
      </c>
      <c r="B133" t="s">
        <v>902</v>
      </c>
      <c r="C133" t="s">
        <v>903</v>
      </c>
      <c r="D133" t="s">
        <v>904</v>
      </c>
      <c r="E133" t="s">
        <v>0</v>
      </c>
      <c r="F133" t="s">
        <v>415</v>
      </c>
      <c r="G133" t="s">
        <v>499</v>
      </c>
      <c r="H133" t="s">
        <v>905</v>
      </c>
      <c r="I133" t="s">
        <v>906</v>
      </c>
      <c r="J133" t="s">
        <v>556</v>
      </c>
      <c r="L133" t="s">
        <v>907</v>
      </c>
      <c r="O133" t="s">
        <v>908</v>
      </c>
      <c r="P133" t="s">
        <v>909</v>
      </c>
      <c r="S133">
        <v>15386</v>
      </c>
      <c r="T133" t="s">
        <v>98</v>
      </c>
      <c r="U133" t="s">
        <v>70</v>
      </c>
      <c r="W133" s="23">
        <v>18629</v>
      </c>
      <c r="X133" t="s">
        <v>910</v>
      </c>
      <c r="Y133" s="23">
        <v>18629</v>
      </c>
      <c r="Z133" s="23">
        <v>2958465</v>
      </c>
      <c r="AA133" s="23">
        <v>42976</v>
      </c>
      <c r="AB133" s="21">
        <v>37</v>
      </c>
      <c r="AC133">
        <v>60592</v>
      </c>
      <c r="AD133" t="s">
        <v>71</v>
      </c>
      <c r="AE133" t="s">
        <v>71</v>
      </c>
    </row>
    <row r="134" spans="1:31" x14ac:dyDescent="0.45">
      <c r="A134">
        <v>10011633</v>
      </c>
      <c r="B134" t="s">
        <v>911</v>
      </c>
      <c r="C134" t="s">
        <v>58</v>
      </c>
      <c r="D134" t="s">
        <v>912</v>
      </c>
      <c r="E134" t="s">
        <v>320</v>
      </c>
      <c r="F134" t="s">
        <v>913</v>
      </c>
      <c r="G134" t="s">
        <v>914</v>
      </c>
      <c r="H134" t="s">
        <v>915</v>
      </c>
      <c r="I134" t="s">
        <v>64</v>
      </c>
      <c r="J134" t="s">
        <v>359</v>
      </c>
      <c r="L134" t="s">
        <v>916</v>
      </c>
      <c r="O134" t="s">
        <v>850</v>
      </c>
      <c r="P134" t="s">
        <v>917</v>
      </c>
      <c r="S134">
        <v>15385</v>
      </c>
      <c r="T134" t="s">
        <v>69</v>
      </c>
      <c r="U134" t="s">
        <v>70</v>
      </c>
      <c r="W134" s="23">
        <v>18629</v>
      </c>
      <c r="Y134" s="23">
        <v>18629</v>
      </c>
      <c r="Z134" s="23">
        <v>2958465</v>
      </c>
      <c r="AA134" s="23">
        <v>42976</v>
      </c>
      <c r="AB134" s="21">
        <v>37</v>
      </c>
      <c r="AC134">
        <v>83000</v>
      </c>
      <c r="AD134" t="s">
        <v>71</v>
      </c>
      <c r="AE134" t="s">
        <v>71</v>
      </c>
    </row>
    <row r="135" spans="1:31" x14ac:dyDescent="0.45">
      <c r="A135">
        <v>10012260</v>
      </c>
      <c r="B135" t="s">
        <v>918</v>
      </c>
      <c r="C135" t="s">
        <v>58</v>
      </c>
      <c r="D135" t="s">
        <v>919</v>
      </c>
      <c r="E135" t="s">
        <v>0</v>
      </c>
      <c r="F135" t="s">
        <v>415</v>
      </c>
      <c r="G135" t="s">
        <v>416</v>
      </c>
      <c r="H135" t="s">
        <v>920</v>
      </c>
      <c r="I135" t="s">
        <v>64</v>
      </c>
      <c r="J135" t="s">
        <v>332</v>
      </c>
      <c r="L135" t="s">
        <v>921</v>
      </c>
      <c r="M135" t="s">
        <v>922</v>
      </c>
      <c r="O135" t="s">
        <v>530</v>
      </c>
      <c r="P135" t="s">
        <v>923</v>
      </c>
      <c r="Q135" t="s">
        <v>924</v>
      </c>
      <c r="S135">
        <v>15385</v>
      </c>
      <c r="T135" t="s">
        <v>69</v>
      </c>
      <c r="U135" t="s">
        <v>70</v>
      </c>
      <c r="W135" s="23">
        <v>18629</v>
      </c>
      <c r="Y135" s="23">
        <v>18629</v>
      </c>
      <c r="Z135" s="23">
        <v>2958465</v>
      </c>
      <c r="AA135" s="23">
        <v>42976</v>
      </c>
      <c r="AB135" s="21">
        <v>37</v>
      </c>
      <c r="AC135">
        <v>71818</v>
      </c>
      <c r="AD135" t="s">
        <v>71</v>
      </c>
      <c r="AE135" t="s">
        <v>71</v>
      </c>
    </row>
    <row r="136" spans="1:31" x14ac:dyDescent="0.45">
      <c r="A136">
        <v>10013157</v>
      </c>
      <c r="B136" t="s">
        <v>925</v>
      </c>
      <c r="C136" t="s">
        <v>90</v>
      </c>
      <c r="D136" t="s">
        <v>926</v>
      </c>
      <c r="E136" t="s">
        <v>0</v>
      </c>
      <c r="F136" t="s">
        <v>415</v>
      </c>
      <c r="G136" t="s">
        <v>499</v>
      </c>
      <c r="H136" t="s">
        <v>927</v>
      </c>
      <c r="I136" t="s">
        <v>64</v>
      </c>
      <c r="J136" t="s">
        <v>501</v>
      </c>
      <c r="L136" t="s">
        <v>928</v>
      </c>
      <c r="O136" t="s">
        <v>929</v>
      </c>
      <c r="P136" t="s">
        <v>930</v>
      </c>
      <c r="Q136" t="s">
        <v>931</v>
      </c>
      <c r="S136">
        <v>15385</v>
      </c>
      <c r="T136" t="s">
        <v>69</v>
      </c>
      <c r="U136" t="s">
        <v>70</v>
      </c>
      <c r="W136" s="23">
        <v>18629</v>
      </c>
      <c r="X136">
        <v>7477418</v>
      </c>
      <c r="Y136" s="23">
        <v>18629</v>
      </c>
      <c r="Z136" s="23">
        <v>2958465</v>
      </c>
      <c r="AA136" s="23">
        <v>42976</v>
      </c>
      <c r="AB136" s="21">
        <v>37</v>
      </c>
      <c r="AC136">
        <v>93851</v>
      </c>
      <c r="AD136" t="s">
        <v>71</v>
      </c>
      <c r="AE136" t="s">
        <v>71</v>
      </c>
    </row>
    <row r="137" spans="1:31" x14ac:dyDescent="0.45">
      <c r="A137">
        <v>10014249</v>
      </c>
      <c r="B137" t="s">
        <v>932</v>
      </c>
      <c r="C137" t="s">
        <v>903</v>
      </c>
      <c r="D137" t="s">
        <v>933</v>
      </c>
      <c r="E137" t="s">
        <v>0</v>
      </c>
      <c r="F137" t="s">
        <v>415</v>
      </c>
      <c r="G137" t="s">
        <v>534</v>
      </c>
      <c r="H137" t="s">
        <v>934</v>
      </c>
      <c r="I137" t="s">
        <v>64</v>
      </c>
      <c r="J137" t="s">
        <v>548</v>
      </c>
      <c r="L137" t="s">
        <v>935</v>
      </c>
      <c r="O137" t="s">
        <v>936</v>
      </c>
      <c r="P137" t="s">
        <v>937</v>
      </c>
      <c r="S137">
        <v>15386</v>
      </c>
      <c r="T137" t="s">
        <v>98</v>
      </c>
      <c r="U137" t="s">
        <v>70</v>
      </c>
      <c r="W137" s="23">
        <v>18629</v>
      </c>
      <c r="X137" t="s">
        <v>938</v>
      </c>
      <c r="Y137" s="23">
        <v>18629</v>
      </c>
      <c r="Z137" s="23">
        <v>2958465</v>
      </c>
      <c r="AA137" s="23">
        <v>42976</v>
      </c>
      <c r="AB137" s="21">
        <v>37</v>
      </c>
      <c r="AC137">
        <v>80444</v>
      </c>
      <c r="AD137" t="s">
        <v>71</v>
      </c>
      <c r="AE137" t="s">
        <v>71</v>
      </c>
    </row>
    <row r="138" spans="1:31" x14ac:dyDescent="0.45">
      <c r="A138">
        <v>10018693</v>
      </c>
      <c r="B138" t="s">
        <v>939</v>
      </c>
      <c r="C138" t="s">
        <v>58</v>
      </c>
      <c r="D138" t="s">
        <v>940</v>
      </c>
      <c r="E138" t="s">
        <v>0</v>
      </c>
      <c r="F138" t="s">
        <v>415</v>
      </c>
      <c r="G138" t="s">
        <v>534</v>
      </c>
      <c r="H138" t="s">
        <v>941</v>
      </c>
      <c r="I138" t="s">
        <v>64</v>
      </c>
      <c r="J138" t="s">
        <v>775</v>
      </c>
      <c r="L138" t="s">
        <v>942</v>
      </c>
      <c r="M138" t="s">
        <v>943</v>
      </c>
      <c r="O138" t="s">
        <v>944</v>
      </c>
      <c r="P138" t="s">
        <v>945</v>
      </c>
      <c r="S138">
        <v>15385</v>
      </c>
      <c r="T138" t="s">
        <v>69</v>
      </c>
      <c r="U138" t="s">
        <v>70</v>
      </c>
      <c r="W138" s="23">
        <v>18629</v>
      </c>
      <c r="X138" t="s">
        <v>946</v>
      </c>
      <c r="Y138" s="23">
        <v>18629</v>
      </c>
      <c r="Z138" s="23">
        <v>2958465</v>
      </c>
      <c r="AA138" s="23">
        <v>42976</v>
      </c>
      <c r="AB138" s="21">
        <v>37</v>
      </c>
      <c r="AC138">
        <v>71818</v>
      </c>
      <c r="AD138" t="s">
        <v>71</v>
      </c>
      <c r="AE138" t="s">
        <v>71</v>
      </c>
    </row>
    <row r="139" spans="1:31" x14ac:dyDescent="0.45">
      <c r="A139">
        <v>10022605</v>
      </c>
      <c r="B139" t="s">
        <v>947</v>
      </c>
      <c r="C139" t="s">
        <v>83</v>
      </c>
      <c r="D139" t="s">
        <v>948</v>
      </c>
      <c r="E139" t="s">
        <v>0</v>
      </c>
      <c r="F139" t="s">
        <v>415</v>
      </c>
      <c r="G139" t="s">
        <v>416</v>
      </c>
      <c r="H139" t="s">
        <v>949</v>
      </c>
      <c r="I139" t="s">
        <v>64</v>
      </c>
      <c r="J139" t="s">
        <v>332</v>
      </c>
      <c r="K139" t="s">
        <v>332</v>
      </c>
      <c r="L139" t="s">
        <v>950</v>
      </c>
      <c r="M139" t="s">
        <v>332</v>
      </c>
      <c r="O139" t="s">
        <v>530</v>
      </c>
      <c r="P139" t="s">
        <v>951</v>
      </c>
      <c r="S139">
        <v>15385</v>
      </c>
      <c r="T139" t="s">
        <v>69</v>
      </c>
      <c r="U139" t="s">
        <v>70</v>
      </c>
      <c r="W139" s="23">
        <v>18629</v>
      </c>
      <c r="Y139" s="23">
        <v>18629</v>
      </c>
      <c r="Z139" s="23">
        <v>2958465</v>
      </c>
      <c r="AA139" s="23">
        <v>42976</v>
      </c>
      <c r="AB139" s="21">
        <v>37</v>
      </c>
      <c r="AC139">
        <v>71818</v>
      </c>
      <c r="AD139" t="s">
        <v>71</v>
      </c>
      <c r="AE139" t="s">
        <v>71</v>
      </c>
    </row>
    <row r="140" spans="1:31" x14ac:dyDescent="0.45">
      <c r="A140">
        <v>10022606</v>
      </c>
      <c r="B140" t="s">
        <v>952</v>
      </c>
      <c r="C140" t="s">
        <v>953</v>
      </c>
      <c r="D140" t="s">
        <v>526</v>
      </c>
      <c r="E140" t="s">
        <v>320</v>
      </c>
      <c r="F140" t="s">
        <v>363</v>
      </c>
      <c r="G140" t="s">
        <v>364</v>
      </c>
      <c r="H140" t="s">
        <v>527</v>
      </c>
      <c r="I140" t="s">
        <v>64</v>
      </c>
      <c r="J140" t="s">
        <v>359</v>
      </c>
      <c r="L140" t="s">
        <v>954</v>
      </c>
      <c r="M140" t="s">
        <v>922</v>
      </c>
      <c r="O140" t="s">
        <v>530</v>
      </c>
      <c r="P140" t="s">
        <v>955</v>
      </c>
      <c r="S140">
        <v>15385</v>
      </c>
      <c r="T140" t="s">
        <v>69</v>
      </c>
      <c r="U140" t="s">
        <v>70</v>
      </c>
      <c r="W140" s="23">
        <v>18629</v>
      </c>
      <c r="Y140" s="23">
        <v>18629</v>
      </c>
      <c r="Z140" s="23">
        <v>2958465</v>
      </c>
      <c r="AA140" s="23">
        <v>42976</v>
      </c>
      <c r="AB140" s="21">
        <v>37</v>
      </c>
      <c r="AC140">
        <v>51868</v>
      </c>
      <c r="AD140" t="s">
        <v>71</v>
      </c>
      <c r="AE140" t="s">
        <v>71</v>
      </c>
    </row>
    <row r="141" spans="1:31" x14ac:dyDescent="0.45">
      <c r="A141">
        <v>10026078</v>
      </c>
      <c r="B141" t="s">
        <v>956</v>
      </c>
      <c r="C141" t="s">
        <v>957</v>
      </c>
      <c r="D141" t="s">
        <v>958</v>
      </c>
      <c r="E141" t="s">
        <v>0</v>
      </c>
      <c r="F141" t="s">
        <v>415</v>
      </c>
      <c r="G141" t="s">
        <v>534</v>
      </c>
      <c r="H141" t="s">
        <v>959</v>
      </c>
      <c r="I141" t="s">
        <v>906</v>
      </c>
      <c r="J141" t="s">
        <v>536</v>
      </c>
      <c r="L141" t="s">
        <v>960</v>
      </c>
      <c r="M141" t="s">
        <v>961</v>
      </c>
      <c r="O141" t="s">
        <v>539</v>
      </c>
      <c r="P141" t="s">
        <v>962</v>
      </c>
      <c r="S141">
        <v>15385</v>
      </c>
      <c r="T141" t="s">
        <v>69</v>
      </c>
      <c r="U141" t="s">
        <v>70</v>
      </c>
      <c r="W141" s="23">
        <v>18629</v>
      </c>
      <c r="Y141" s="23">
        <v>18629</v>
      </c>
      <c r="Z141" s="23">
        <v>2958465</v>
      </c>
      <c r="AA141" s="23">
        <v>42976</v>
      </c>
      <c r="AB141" s="21">
        <v>37</v>
      </c>
      <c r="AC141">
        <v>98375</v>
      </c>
      <c r="AD141" t="s">
        <v>71</v>
      </c>
      <c r="AE141" t="s">
        <v>71</v>
      </c>
    </row>
    <row r="142" spans="1:31" x14ac:dyDescent="0.45">
      <c r="A142">
        <v>10026099</v>
      </c>
      <c r="B142" t="s">
        <v>963</v>
      </c>
      <c r="C142" t="s">
        <v>964</v>
      </c>
      <c r="D142" t="s">
        <v>965</v>
      </c>
      <c r="E142" t="s">
        <v>0</v>
      </c>
      <c r="F142" t="s">
        <v>415</v>
      </c>
      <c r="G142" t="s">
        <v>534</v>
      </c>
      <c r="H142" t="s">
        <v>966</v>
      </c>
      <c r="I142" t="s">
        <v>64</v>
      </c>
      <c r="J142" t="s">
        <v>775</v>
      </c>
      <c r="L142" t="s">
        <v>967</v>
      </c>
      <c r="O142" t="s">
        <v>968</v>
      </c>
      <c r="P142" t="s">
        <v>969</v>
      </c>
      <c r="Q142">
        <v>1303252249</v>
      </c>
      <c r="S142">
        <v>15386</v>
      </c>
      <c r="T142" t="s">
        <v>98</v>
      </c>
      <c r="U142" t="s">
        <v>70</v>
      </c>
      <c r="W142" s="23">
        <v>18629</v>
      </c>
      <c r="X142" t="s">
        <v>970</v>
      </c>
      <c r="Y142" s="23">
        <v>18629</v>
      </c>
      <c r="Z142" s="23">
        <v>2958465</v>
      </c>
      <c r="AA142" s="23">
        <v>42976</v>
      </c>
      <c r="AB142" s="21">
        <v>37</v>
      </c>
      <c r="AC142">
        <v>60592</v>
      </c>
      <c r="AD142" t="s">
        <v>71</v>
      </c>
      <c r="AE142" t="s">
        <v>71</v>
      </c>
    </row>
    <row r="143" spans="1:31" x14ac:dyDescent="0.45">
      <c r="A143">
        <v>10026105</v>
      </c>
      <c r="B143" t="s">
        <v>971</v>
      </c>
      <c r="C143" t="s">
        <v>58</v>
      </c>
      <c r="D143" t="s">
        <v>972</v>
      </c>
      <c r="E143" t="s">
        <v>0</v>
      </c>
      <c r="F143" t="s">
        <v>415</v>
      </c>
      <c r="G143" t="s">
        <v>499</v>
      </c>
      <c r="H143" t="s">
        <v>973</v>
      </c>
      <c r="I143" t="s">
        <v>64</v>
      </c>
      <c r="J143" t="s">
        <v>501</v>
      </c>
      <c r="L143" t="s">
        <v>974</v>
      </c>
      <c r="M143" t="s">
        <v>975</v>
      </c>
      <c r="O143" t="s">
        <v>594</v>
      </c>
      <c r="P143" t="s">
        <v>976</v>
      </c>
      <c r="Q143" t="s">
        <v>977</v>
      </c>
      <c r="S143">
        <v>15385</v>
      </c>
      <c r="T143" t="s">
        <v>69</v>
      </c>
      <c r="U143" t="s">
        <v>70</v>
      </c>
      <c r="W143" s="23">
        <v>18629</v>
      </c>
      <c r="X143">
        <v>107551202</v>
      </c>
      <c r="Y143" s="23">
        <v>18629</v>
      </c>
      <c r="Z143" s="23">
        <v>2958465</v>
      </c>
      <c r="AA143" s="23">
        <v>42976</v>
      </c>
      <c r="AB143" s="21">
        <v>37</v>
      </c>
      <c r="AC143">
        <v>71818</v>
      </c>
      <c r="AD143" t="s">
        <v>71</v>
      </c>
      <c r="AE143" t="s">
        <v>71</v>
      </c>
    </row>
    <row r="144" spans="1:31" x14ac:dyDescent="0.45">
      <c r="A144">
        <v>10026189</v>
      </c>
      <c r="B144" t="s">
        <v>978</v>
      </c>
      <c r="C144" t="s">
        <v>192</v>
      </c>
      <c r="D144" t="s">
        <v>637</v>
      </c>
      <c r="E144" t="s">
        <v>0</v>
      </c>
      <c r="F144" t="s">
        <v>415</v>
      </c>
      <c r="G144" t="s">
        <v>416</v>
      </c>
      <c r="H144" t="s">
        <v>638</v>
      </c>
      <c r="I144" t="s">
        <v>64</v>
      </c>
      <c r="J144" t="s">
        <v>332</v>
      </c>
      <c r="L144" t="s">
        <v>979</v>
      </c>
      <c r="M144" t="s">
        <v>980</v>
      </c>
      <c r="O144" t="s">
        <v>530</v>
      </c>
      <c r="P144" t="s">
        <v>981</v>
      </c>
      <c r="S144">
        <v>15385</v>
      </c>
      <c r="T144" t="s">
        <v>69</v>
      </c>
      <c r="U144" t="s">
        <v>70</v>
      </c>
      <c r="W144" s="23">
        <v>18629</v>
      </c>
      <c r="Y144" s="23">
        <v>18629</v>
      </c>
      <c r="Z144" s="23">
        <v>2958465</v>
      </c>
      <c r="AA144" s="23">
        <v>42976</v>
      </c>
      <c r="AB144" s="21">
        <v>37</v>
      </c>
      <c r="AC144">
        <v>71818</v>
      </c>
      <c r="AD144" t="s">
        <v>71</v>
      </c>
      <c r="AE144" t="s">
        <v>71</v>
      </c>
    </row>
    <row r="145" spans="1:31" x14ac:dyDescent="0.45">
      <c r="A145">
        <v>10029628</v>
      </c>
      <c r="B145" t="s">
        <v>982</v>
      </c>
      <c r="C145" t="s">
        <v>83</v>
      </c>
      <c r="D145" t="s">
        <v>983</v>
      </c>
      <c r="E145" t="s">
        <v>60</v>
      </c>
      <c r="F145" t="s">
        <v>984</v>
      </c>
      <c r="G145" t="s">
        <v>985</v>
      </c>
      <c r="H145" t="s">
        <v>986</v>
      </c>
      <c r="I145" t="s">
        <v>64</v>
      </c>
      <c r="J145" t="s">
        <v>487</v>
      </c>
      <c r="L145" t="s">
        <v>987</v>
      </c>
      <c r="M145" t="s">
        <v>988</v>
      </c>
      <c r="O145" t="s">
        <v>490</v>
      </c>
      <c r="P145" t="s">
        <v>989</v>
      </c>
      <c r="Q145">
        <v>1417720207</v>
      </c>
      <c r="S145">
        <v>15386</v>
      </c>
      <c r="T145" t="s">
        <v>98</v>
      </c>
      <c r="U145" t="s">
        <v>70</v>
      </c>
      <c r="W145" s="23">
        <v>18629</v>
      </c>
      <c r="X145" t="s">
        <v>990</v>
      </c>
      <c r="Y145" s="23">
        <v>18629</v>
      </c>
      <c r="Z145" s="23">
        <v>2958465</v>
      </c>
      <c r="AA145" s="23">
        <v>42976</v>
      </c>
      <c r="AB145" s="21">
        <v>37</v>
      </c>
      <c r="AC145">
        <v>36000</v>
      </c>
      <c r="AD145" t="s">
        <v>71</v>
      </c>
      <c r="AE145" t="s">
        <v>71</v>
      </c>
    </row>
    <row r="146" spans="1:31" x14ac:dyDescent="0.45">
      <c r="A146">
        <v>10030144</v>
      </c>
      <c r="B146" t="s">
        <v>991</v>
      </c>
      <c r="C146" t="s">
        <v>860</v>
      </c>
      <c r="D146" t="s">
        <v>992</v>
      </c>
      <c r="E146" t="s">
        <v>0</v>
      </c>
      <c r="F146" t="s">
        <v>415</v>
      </c>
      <c r="G146" t="s">
        <v>534</v>
      </c>
      <c r="H146" t="s">
        <v>993</v>
      </c>
      <c r="I146" t="s">
        <v>906</v>
      </c>
      <c r="J146" t="s">
        <v>898</v>
      </c>
      <c r="L146" t="s">
        <v>994</v>
      </c>
      <c r="M146" t="s">
        <v>995</v>
      </c>
      <c r="O146" t="s">
        <v>996</v>
      </c>
      <c r="P146" t="s">
        <v>997</v>
      </c>
      <c r="Q146" t="s">
        <v>998</v>
      </c>
      <c r="S146">
        <v>15386</v>
      </c>
      <c r="T146" t="s">
        <v>98</v>
      </c>
      <c r="U146" t="s">
        <v>70</v>
      </c>
      <c r="W146" s="23">
        <v>18629</v>
      </c>
      <c r="X146" t="s">
        <v>999</v>
      </c>
      <c r="Y146" s="23">
        <v>41321</v>
      </c>
      <c r="Z146" s="23">
        <v>2958465</v>
      </c>
      <c r="AA146" s="23">
        <v>42976</v>
      </c>
      <c r="AB146" s="21">
        <v>37</v>
      </c>
      <c r="AC146">
        <v>71360</v>
      </c>
      <c r="AD146" t="s">
        <v>71</v>
      </c>
      <c r="AE146" t="s">
        <v>71</v>
      </c>
    </row>
    <row r="147" spans="1:31" x14ac:dyDescent="0.45">
      <c r="A147">
        <v>10032653</v>
      </c>
      <c r="B147" t="s">
        <v>1000</v>
      </c>
      <c r="C147" t="s">
        <v>211</v>
      </c>
      <c r="D147" t="s">
        <v>1001</v>
      </c>
      <c r="E147" t="s">
        <v>0</v>
      </c>
      <c r="F147" t="s">
        <v>415</v>
      </c>
      <c r="G147" t="s">
        <v>499</v>
      </c>
      <c r="H147" t="s">
        <v>905</v>
      </c>
      <c r="I147" t="s">
        <v>906</v>
      </c>
      <c r="J147" t="s">
        <v>556</v>
      </c>
      <c r="K147" t="s">
        <v>556</v>
      </c>
      <c r="L147" t="s">
        <v>1002</v>
      </c>
      <c r="O147" t="s">
        <v>1003</v>
      </c>
      <c r="P147" t="s">
        <v>1004</v>
      </c>
      <c r="S147">
        <v>15385</v>
      </c>
      <c r="T147" t="s">
        <v>69</v>
      </c>
      <c r="U147" t="s">
        <v>70</v>
      </c>
      <c r="W147" s="23">
        <v>18629</v>
      </c>
      <c r="Y147" s="23">
        <v>18629</v>
      </c>
      <c r="Z147" s="23">
        <v>2958465</v>
      </c>
      <c r="AA147" s="23">
        <v>42976</v>
      </c>
      <c r="AB147" s="21">
        <v>37</v>
      </c>
      <c r="AC147">
        <v>67956</v>
      </c>
      <c r="AD147" t="s">
        <v>71</v>
      </c>
      <c r="AE147" t="s">
        <v>71</v>
      </c>
    </row>
    <row r="148" spans="1:31" x14ac:dyDescent="0.45">
      <c r="A148">
        <v>10035128</v>
      </c>
      <c r="B148" t="s">
        <v>1005</v>
      </c>
      <c r="C148" t="s">
        <v>83</v>
      </c>
      <c r="D148" t="s">
        <v>1006</v>
      </c>
      <c r="E148" t="s">
        <v>0</v>
      </c>
      <c r="F148" t="s">
        <v>415</v>
      </c>
      <c r="G148" t="s">
        <v>499</v>
      </c>
      <c r="H148" t="s">
        <v>638</v>
      </c>
      <c r="I148" t="s">
        <v>64</v>
      </c>
      <c r="J148" t="s">
        <v>1007</v>
      </c>
      <c r="L148" t="s">
        <v>1008</v>
      </c>
      <c r="O148" t="s">
        <v>1007</v>
      </c>
      <c r="P148" t="s">
        <v>1009</v>
      </c>
      <c r="Q148">
        <v>1429869456</v>
      </c>
      <c r="S148">
        <v>15386</v>
      </c>
      <c r="T148" t="s">
        <v>98</v>
      </c>
      <c r="U148" t="s">
        <v>70</v>
      </c>
      <c r="W148" s="23">
        <v>18629</v>
      </c>
      <c r="X148" t="s">
        <v>1010</v>
      </c>
      <c r="Y148" s="23">
        <v>41732</v>
      </c>
      <c r="Z148" s="23">
        <v>2958465</v>
      </c>
      <c r="AA148" s="23">
        <v>42976</v>
      </c>
      <c r="AB148" s="21">
        <v>37</v>
      </c>
      <c r="AC148">
        <v>60592</v>
      </c>
      <c r="AD148" t="s">
        <v>71</v>
      </c>
      <c r="AE148" t="s">
        <v>71</v>
      </c>
    </row>
    <row r="149" spans="1:31" x14ac:dyDescent="0.45">
      <c r="A149">
        <v>10035719</v>
      </c>
      <c r="B149" t="s">
        <v>1011</v>
      </c>
      <c r="C149" t="s">
        <v>153</v>
      </c>
      <c r="D149" t="s">
        <v>1012</v>
      </c>
      <c r="E149" t="s">
        <v>0</v>
      </c>
      <c r="F149" t="s">
        <v>415</v>
      </c>
      <c r="G149" t="s">
        <v>416</v>
      </c>
      <c r="H149" t="s">
        <v>1013</v>
      </c>
      <c r="I149" t="s">
        <v>64</v>
      </c>
      <c r="J149" t="s">
        <v>332</v>
      </c>
      <c r="L149" t="s">
        <v>1014</v>
      </c>
      <c r="M149" t="s">
        <v>1015</v>
      </c>
      <c r="O149" t="s">
        <v>530</v>
      </c>
      <c r="P149" t="s">
        <v>1016</v>
      </c>
      <c r="S149">
        <v>15385</v>
      </c>
      <c r="T149" t="s">
        <v>69</v>
      </c>
      <c r="U149" t="s">
        <v>70</v>
      </c>
      <c r="W149" s="23">
        <v>18629</v>
      </c>
      <c r="Y149" s="23">
        <v>41347</v>
      </c>
      <c r="Z149" s="23">
        <v>2958465</v>
      </c>
      <c r="AA149" s="23">
        <v>42976</v>
      </c>
      <c r="AB149" s="21">
        <v>37</v>
      </c>
      <c r="AC149">
        <v>71818</v>
      </c>
      <c r="AD149" t="s">
        <v>71</v>
      </c>
      <c r="AE149" t="s">
        <v>71</v>
      </c>
    </row>
    <row r="150" spans="1:31" x14ac:dyDescent="0.45">
      <c r="A150">
        <v>10036115</v>
      </c>
      <c r="B150" t="s">
        <v>1017</v>
      </c>
      <c r="C150" t="s">
        <v>192</v>
      </c>
      <c r="D150" t="s">
        <v>1018</v>
      </c>
      <c r="E150" t="s">
        <v>0</v>
      </c>
      <c r="F150" t="s">
        <v>415</v>
      </c>
      <c r="G150" t="s">
        <v>416</v>
      </c>
      <c r="H150" t="s">
        <v>1019</v>
      </c>
      <c r="I150" t="s">
        <v>64</v>
      </c>
      <c r="J150" t="s">
        <v>332</v>
      </c>
      <c r="L150" t="s">
        <v>1020</v>
      </c>
      <c r="M150" t="s">
        <v>1021</v>
      </c>
      <c r="O150" t="s">
        <v>334</v>
      </c>
      <c r="P150" t="s">
        <v>1022</v>
      </c>
      <c r="Q150">
        <v>1242863065</v>
      </c>
      <c r="S150">
        <v>15385</v>
      </c>
      <c r="T150" t="s">
        <v>69</v>
      </c>
      <c r="U150" t="s">
        <v>70</v>
      </c>
      <c r="W150" s="23">
        <v>18629</v>
      </c>
      <c r="Y150" s="23">
        <v>18629</v>
      </c>
      <c r="Z150" s="23">
        <v>2958465</v>
      </c>
      <c r="AA150" s="23">
        <v>42976</v>
      </c>
      <c r="AB150" s="21">
        <v>37</v>
      </c>
      <c r="AC150">
        <v>69092</v>
      </c>
      <c r="AD150" t="s">
        <v>71</v>
      </c>
      <c r="AE150" t="s">
        <v>71</v>
      </c>
    </row>
    <row r="151" spans="1:31" x14ac:dyDescent="0.45">
      <c r="A151">
        <v>10036437</v>
      </c>
      <c r="B151" t="s">
        <v>1023</v>
      </c>
      <c r="C151" t="s">
        <v>58</v>
      </c>
      <c r="D151" t="s">
        <v>1024</v>
      </c>
      <c r="E151" t="s">
        <v>320</v>
      </c>
      <c r="F151" t="s">
        <v>363</v>
      </c>
      <c r="G151" t="s">
        <v>364</v>
      </c>
      <c r="H151" t="s">
        <v>1025</v>
      </c>
      <c r="I151" t="s">
        <v>64</v>
      </c>
      <c r="J151" t="s">
        <v>359</v>
      </c>
      <c r="L151" t="s">
        <v>1026</v>
      </c>
      <c r="M151" t="s">
        <v>719</v>
      </c>
      <c r="O151" t="s">
        <v>530</v>
      </c>
      <c r="P151" t="s">
        <v>1027</v>
      </c>
      <c r="S151">
        <v>15385</v>
      </c>
      <c r="T151" t="s">
        <v>69</v>
      </c>
      <c r="U151" t="s">
        <v>70</v>
      </c>
      <c r="W151" s="23">
        <v>18629</v>
      </c>
      <c r="X151" t="s">
        <v>1028</v>
      </c>
      <c r="Y151" s="23">
        <v>18629</v>
      </c>
      <c r="Z151" s="23">
        <v>2958465</v>
      </c>
      <c r="AA151" s="23">
        <v>42976</v>
      </c>
      <c r="AB151" s="21">
        <v>37</v>
      </c>
      <c r="AC151">
        <v>74185</v>
      </c>
      <c r="AD151" t="s">
        <v>71</v>
      </c>
      <c r="AE151" t="s">
        <v>71</v>
      </c>
    </row>
    <row r="152" spans="1:31" x14ac:dyDescent="0.45">
      <c r="A152">
        <v>10038976</v>
      </c>
      <c r="B152" t="s">
        <v>1029</v>
      </c>
      <c r="C152" t="s">
        <v>83</v>
      </c>
      <c r="D152" t="s">
        <v>1030</v>
      </c>
      <c r="E152" t="s">
        <v>0</v>
      </c>
      <c r="F152" t="s">
        <v>415</v>
      </c>
      <c r="G152" t="s">
        <v>534</v>
      </c>
      <c r="H152" t="s">
        <v>1031</v>
      </c>
      <c r="I152" t="s">
        <v>64</v>
      </c>
      <c r="J152" t="s">
        <v>898</v>
      </c>
      <c r="L152" t="s">
        <v>1032</v>
      </c>
      <c r="O152" t="s">
        <v>1033</v>
      </c>
      <c r="P152" t="s">
        <v>1034</v>
      </c>
      <c r="S152">
        <v>15385</v>
      </c>
      <c r="T152" t="s">
        <v>69</v>
      </c>
      <c r="U152" t="s">
        <v>70</v>
      </c>
      <c r="W152" s="23">
        <v>18629</v>
      </c>
      <c r="Y152" s="23">
        <v>18629</v>
      </c>
      <c r="Z152" s="23">
        <v>2958465</v>
      </c>
      <c r="AA152" s="23">
        <v>42976</v>
      </c>
      <c r="AB152" s="21">
        <v>37</v>
      </c>
      <c r="AC152">
        <v>60592</v>
      </c>
      <c r="AD152" t="s">
        <v>71</v>
      </c>
      <c r="AE152" t="s">
        <v>71</v>
      </c>
    </row>
    <row r="153" spans="1:31" x14ac:dyDescent="0.45">
      <c r="A153">
        <v>10039480</v>
      </c>
      <c r="B153" t="s">
        <v>1035</v>
      </c>
      <c r="C153" t="s">
        <v>860</v>
      </c>
      <c r="D153" t="s">
        <v>370</v>
      </c>
      <c r="E153" t="s">
        <v>0</v>
      </c>
      <c r="F153" t="s">
        <v>1036</v>
      </c>
      <c r="G153" t="s">
        <v>1037</v>
      </c>
      <c r="H153" t="s">
        <v>1038</v>
      </c>
      <c r="I153" t="s">
        <v>64</v>
      </c>
      <c r="J153" t="s">
        <v>332</v>
      </c>
      <c r="L153" t="s">
        <v>1039</v>
      </c>
      <c r="O153" t="s">
        <v>334</v>
      </c>
      <c r="P153" t="s">
        <v>1040</v>
      </c>
      <c r="S153">
        <v>15386</v>
      </c>
      <c r="T153" t="s">
        <v>98</v>
      </c>
      <c r="U153" t="s">
        <v>70</v>
      </c>
      <c r="W153" s="23">
        <v>18629</v>
      </c>
      <c r="X153" t="s">
        <v>1041</v>
      </c>
      <c r="Y153" s="23">
        <v>38151</v>
      </c>
      <c r="Z153" s="23">
        <v>2958465</v>
      </c>
      <c r="AA153" s="23">
        <v>42976</v>
      </c>
      <c r="AB153" s="21">
        <v>37</v>
      </c>
      <c r="AC153">
        <v>97441</v>
      </c>
      <c r="AD153" t="s">
        <v>71</v>
      </c>
      <c r="AE153" t="s">
        <v>71</v>
      </c>
    </row>
    <row r="154" spans="1:31" x14ac:dyDescent="0.45">
      <c r="A154">
        <v>10040187</v>
      </c>
      <c r="B154" t="s">
        <v>1042</v>
      </c>
      <c r="C154" t="s">
        <v>83</v>
      </c>
      <c r="D154" t="s">
        <v>1043</v>
      </c>
      <c r="E154" t="s">
        <v>0</v>
      </c>
      <c r="F154" t="s">
        <v>415</v>
      </c>
      <c r="G154" t="s">
        <v>416</v>
      </c>
      <c r="H154" t="s">
        <v>1044</v>
      </c>
      <c r="I154" t="s">
        <v>64</v>
      </c>
      <c r="J154" t="s">
        <v>332</v>
      </c>
      <c r="L154" t="s">
        <v>1045</v>
      </c>
      <c r="M154" t="s">
        <v>1046</v>
      </c>
      <c r="N154" t="s">
        <v>1047</v>
      </c>
      <c r="O154" t="s">
        <v>530</v>
      </c>
      <c r="P154" t="s">
        <v>1048</v>
      </c>
      <c r="S154">
        <v>15385</v>
      </c>
      <c r="T154" t="s">
        <v>69</v>
      </c>
      <c r="U154" t="s">
        <v>70</v>
      </c>
      <c r="W154" s="23">
        <v>18629</v>
      </c>
      <c r="Y154" s="23">
        <v>42426</v>
      </c>
      <c r="Z154" s="23">
        <v>2958465</v>
      </c>
      <c r="AA154" s="23">
        <v>42976</v>
      </c>
      <c r="AB154" s="21">
        <v>37</v>
      </c>
      <c r="AC154">
        <v>60592</v>
      </c>
      <c r="AD154" t="s">
        <v>71</v>
      </c>
      <c r="AE154" t="s">
        <v>71</v>
      </c>
    </row>
    <row r="155" spans="1:31" x14ac:dyDescent="0.45">
      <c r="A155">
        <v>10041060</v>
      </c>
      <c r="B155" t="s">
        <v>1049</v>
      </c>
      <c r="C155" t="s">
        <v>1050</v>
      </c>
      <c r="D155" t="s">
        <v>1051</v>
      </c>
      <c r="E155" t="s">
        <v>0</v>
      </c>
      <c r="F155" t="s">
        <v>415</v>
      </c>
      <c r="G155" t="s">
        <v>416</v>
      </c>
      <c r="H155" t="s">
        <v>527</v>
      </c>
      <c r="I155" t="s">
        <v>64</v>
      </c>
      <c r="J155" t="s">
        <v>332</v>
      </c>
      <c r="L155" t="s">
        <v>1052</v>
      </c>
      <c r="M155" t="s">
        <v>332</v>
      </c>
      <c r="O155" t="s">
        <v>530</v>
      </c>
      <c r="P155" t="s">
        <v>1053</v>
      </c>
      <c r="Q155">
        <v>1452550341</v>
      </c>
      <c r="S155">
        <v>15385</v>
      </c>
      <c r="T155" t="s">
        <v>69</v>
      </c>
      <c r="U155" t="s">
        <v>70</v>
      </c>
      <c r="W155" s="23">
        <v>18629</v>
      </c>
      <c r="Y155" s="23">
        <v>18629</v>
      </c>
      <c r="Z155" s="23">
        <v>2958465</v>
      </c>
      <c r="AA155" s="23">
        <v>42976</v>
      </c>
      <c r="AB155" s="21">
        <v>37</v>
      </c>
      <c r="AC155">
        <v>71818</v>
      </c>
      <c r="AD155" t="s">
        <v>71</v>
      </c>
      <c r="AE155" t="s">
        <v>71</v>
      </c>
    </row>
    <row r="156" spans="1:31" x14ac:dyDescent="0.45">
      <c r="A156">
        <v>10041128</v>
      </c>
      <c r="B156" t="s">
        <v>1054</v>
      </c>
      <c r="C156" t="s">
        <v>90</v>
      </c>
      <c r="D156" t="s">
        <v>1055</v>
      </c>
      <c r="E156" t="s">
        <v>0</v>
      </c>
      <c r="F156" t="s">
        <v>415</v>
      </c>
      <c r="G156" t="s">
        <v>499</v>
      </c>
      <c r="H156" t="s">
        <v>1056</v>
      </c>
      <c r="I156" t="s">
        <v>64</v>
      </c>
      <c r="J156" t="s">
        <v>501</v>
      </c>
      <c r="L156" t="s">
        <v>1057</v>
      </c>
      <c r="O156" t="s">
        <v>1058</v>
      </c>
      <c r="P156" t="s">
        <v>1059</v>
      </c>
      <c r="Q156">
        <v>1934527721</v>
      </c>
      <c r="S156">
        <v>15385</v>
      </c>
      <c r="T156" t="s">
        <v>69</v>
      </c>
      <c r="U156" t="s">
        <v>70</v>
      </c>
      <c r="W156" s="23">
        <v>18629</v>
      </c>
      <c r="Y156" s="23">
        <v>18629</v>
      </c>
      <c r="Z156" s="23">
        <v>2958465</v>
      </c>
      <c r="AA156" s="23">
        <v>42976</v>
      </c>
      <c r="AB156" s="21">
        <v>37</v>
      </c>
      <c r="AC156">
        <v>60592</v>
      </c>
      <c r="AD156" t="s">
        <v>71</v>
      </c>
      <c r="AE156" t="s">
        <v>71</v>
      </c>
    </row>
    <row r="157" spans="1:31" x14ac:dyDescent="0.45">
      <c r="A157">
        <v>10041504</v>
      </c>
      <c r="B157" t="s">
        <v>1060</v>
      </c>
      <c r="C157" t="s">
        <v>964</v>
      </c>
      <c r="D157" t="s">
        <v>1061</v>
      </c>
      <c r="E157" t="s">
        <v>320</v>
      </c>
      <c r="F157" t="s">
        <v>356</v>
      </c>
      <c r="G157" t="s">
        <v>357</v>
      </c>
      <c r="H157" t="s">
        <v>1062</v>
      </c>
      <c r="I157" t="s">
        <v>64</v>
      </c>
      <c r="J157" t="s">
        <v>359</v>
      </c>
      <c r="L157" t="s">
        <v>1063</v>
      </c>
      <c r="M157" t="s">
        <v>1064</v>
      </c>
      <c r="N157" t="s">
        <v>1065</v>
      </c>
      <c r="O157" t="s">
        <v>530</v>
      </c>
      <c r="P157" t="s">
        <v>1066</v>
      </c>
      <c r="Q157" t="s">
        <v>1067</v>
      </c>
      <c r="S157">
        <v>15385</v>
      </c>
      <c r="T157" t="s">
        <v>69</v>
      </c>
      <c r="U157" t="s">
        <v>70</v>
      </c>
      <c r="W157" s="23">
        <v>18629</v>
      </c>
      <c r="Y157" s="23">
        <v>18629</v>
      </c>
      <c r="Z157" s="23">
        <v>2958465</v>
      </c>
      <c r="AA157" s="23">
        <v>42976</v>
      </c>
      <c r="AB157" s="21">
        <v>37</v>
      </c>
      <c r="AC157">
        <v>87444</v>
      </c>
      <c r="AD157" t="s">
        <v>71</v>
      </c>
      <c r="AE157" t="s">
        <v>71</v>
      </c>
    </row>
    <row r="158" spans="1:31" x14ac:dyDescent="0.45">
      <c r="A158">
        <v>10042384</v>
      </c>
      <c r="B158" t="s">
        <v>1068</v>
      </c>
      <c r="C158" t="s">
        <v>83</v>
      </c>
      <c r="D158" t="s">
        <v>1069</v>
      </c>
      <c r="E158" t="s">
        <v>0</v>
      </c>
      <c r="F158" t="s">
        <v>415</v>
      </c>
      <c r="G158" t="s">
        <v>416</v>
      </c>
      <c r="H158" t="s">
        <v>1070</v>
      </c>
      <c r="I158" t="s">
        <v>64</v>
      </c>
      <c r="J158" t="s">
        <v>332</v>
      </c>
      <c r="L158" t="s">
        <v>1071</v>
      </c>
      <c r="M158" t="s">
        <v>1072</v>
      </c>
      <c r="O158" t="s">
        <v>1073</v>
      </c>
      <c r="P158" t="s">
        <v>1074</v>
      </c>
      <c r="Q158">
        <v>1212408661</v>
      </c>
      <c r="S158">
        <v>15385</v>
      </c>
      <c r="T158" t="s">
        <v>69</v>
      </c>
      <c r="U158" t="s">
        <v>70</v>
      </c>
      <c r="W158" s="23">
        <v>18629</v>
      </c>
      <c r="X158" t="s">
        <v>1075</v>
      </c>
      <c r="Y158" s="23">
        <v>41697</v>
      </c>
      <c r="Z158" s="23">
        <v>2958465</v>
      </c>
      <c r="AA158" s="23">
        <v>42976</v>
      </c>
      <c r="AB158" s="21">
        <v>37</v>
      </c>
      <c r="AC158">
        <v>71360</v>
      </c>
      <c r="AD158" t="s">
        <v>71</v>
      </c>
      <c r="AE158" t="s">
        <v>71</v>
      </c>
    </row>
    <row r="159" spans="1:31" x14ac:dyDescent="0.45">
      <c r="A159">
        <v>10043565</v>
      </c>
      <c r="B159" t="s">
        <v>1076</v>
      </c>
      <c r="C159" t="s">
        <v>192</v>
      </c>
      <c r="D159" t="s">
        <v>526</v>
      </c>
      <c r="E159" t="s">
        <v>320</v>
      </c>
      <c r="F159" t="s">
        <v>363</v>
      </c>
      <c r="G159" t="s">
        <v>364</v>
      </c>
      <c r="H159" t="s">
        <v>1077</v>
      </c>
      <c r="I159" t="s">
        <v>64</v>
      </c>
      <c r="J159" t="s">
        <v>332</v>
      </c>
      <c r="L159" t="s">
        <v>1078</v>
      </c>
      <c r="O159" t="s">
        <v>530</v>
      </c>
      <c r="P159" t="s">
        <v>1079</v>
      </c>
      <c r="S159">
        <v>15386</v>
      </c>
      <c r="T159" t="s">
        <v>98</v>
      </c>
      <c r="U159" t="s">
        <v>70</v>
      </c>
      <c r="W159" s="23">
        <v>18629</v>
      </c>
      <c r="X159" t="s">
        <v>1080</v>
      </c>
      <c r="Y159" s="23">
        <v>41499</v>
      </c>
      <c r="Z159" s="23">
        <v>2958465</v>
      </c>
      <c r="AA159" s="23">
        <v>42976</v>
      </c>
      <c r="AB159" s="21">
        <v>37</v>
      </c>
      <c r="AC159">
        <v>57484</v>
      </c>
      <c r="AD159" t="s">
        <v>71</v>
      </c>
      <c r="AE159" t="s">
        <v>71</v>
      </c>
    </row>
    <row r="160" spans="1:31" x14ac:dyDescent="0.45">
      <c r="A160">
        <v>10043888</v>
      </c>
      <c r="B160" t="s">
        <v>1081</v>
      </c>
      <c r="C160" t="s">
        <v>58</v>
      </c>
      <c r="D160" t="s">
        <v>1082</v>
      </c>
      <c r="E160" t="s">
        <v>0</v>
      </c>
      <c r="F160" t="s">
        <v>415</v>
      </c>
      <c r="G160" t="s">
        <v>534</v>
      </c>
      <c r="H160" t="s">
        <v>1083</v>
      </c>
      <c r="I160" t="s">
        <v>64</v>
      </c>
      <c r="J160" t="s">
        <v>775</v>
      </c>
      <c r="L160" t="s">
        <v>1084</v>
      </c>
      <c r="M160" t="s">
        <v>1085</v>
      </c>
      <c r="O160" t="s">
        <v>944</v>
      </c>
      <c r="P160" t="s">
        <v>1086</v>
      </c>
      <c r="S160">
        <v>15385</v>
      </c>
      <c r="T160" t="s">
        <v>69</v>
      </c>
      <c r="U160" t="s">
        <v>70</v>
      </c>
      <c r="W160" s="23">
        <v>18629</v>
      </c>
      <c r="Y160" s="23">
        <v>42159</v>
      </c>
      <c r="Z160" s="23">
        <v>2958465</v>
      </c>
      <c r="AA160" s="23">
        <v>42976</v>
      </c>
      <c r="AB160" s="21">
        <v>37</v>
      </c>
      <c r="AC160">
        <v>64553</v>
      </c>
      <c r="AD160" t="s">
        <v>71</v>
      </c>
      <c r="AE160" t="s">
        <v>71</v>
      </c>
    </row>
    <row r="161" spans="1:31" x14ac:dyDescent="0.45">
      <c r="A161">
        <v>10044168</v>
      </c>
      <c r="B161" t="s">
        <v>1087</v>
      </c>
      <c r="C161" t="s">
        <v>58</v>
      </c>
      <c r="D161" t="s">
        <v>1088</v>
      </c>
      <c r="E161" t="s">
        <v>320</v>
      </c>
      <c r="F161" t="s">
        <v>1089</v>
      </c>
      <c r="G161" t="s">
        <v>1090</v>
      </c>
      <c r="H161" t="s">
        <v>1091</v>
      </c>
      <c r="I161" t="s">
        <v>64</v>
      </c>
      <c r="J161" t="s">
        <v>359</v>
      </c>
      <c r="L161" t="s">
        <v>1092</v>
      </c>
      <c r="M161" t="s">
        <v>980</v>
      </c>
      <c r="O161" t="s">
        <v>530</v>
      </c>
      <c r="P161" t="s">
        <v>1093</v>
      </c>
      <c r="Q161" t="s">
        <v>1094</v>
      </c>
      <c r="S161">
        <v>15386</v>
      </c>
      <c r="T161" t="s">
        <v>98</v>
      </c>
      <c r="U161" t="s">
        <v>70</v>
      </c>
      <c r="W161" s="23">
        <v>18629</v>
      </c>
      <c r="X161" t="s">
        <v>1095</v>
      </c>
      <c r="Y161" s="23">
        <v>37774</v>
      </c>
      <c r="Z161" s="23">
        <v>2958465</v>
      </c>
      <c r="AA161" s="23">
        <v>42976</v>
      </c>
      <c r="AB161" s="21">
        <v>37</v>
      </c>
      <c r="AC161">
        <v>64258</v>
      </c>
      <c r="AD161" t="s">
        <v>71</v>
      </c>
      <c r="AE161" t="s">
        <v>71</v>
      </c>
    </row>
    <row r="162" spans="1:31" x14ac:dyDescent="0.45">
      <c r="A162">
        <v>10045051</v>
      </c>
      <c r="B162" t="s">
        <v>1096</v>
      </c>
      <c r="C162" t="s">
        <v>83</v>
      </c>
      <c r="D162" t="s">
        <v>1097</v>
      </c>
      <c r="E162" t="s">
        <v>0</v>
      </c>
      <c r="F162" t="s">
        <v>456</v>
      </c>
      <c r="G162" t="s">
        <v>675</v>
      </c>
      <c r="H162" t="s">
        <v>1098</v>
      </c>
      <c r="I162" t="s">
        <v>64</v>
      </c>
      <c r="J162" t="s">
        <v>332</v>
      </c>
      <c r="L162" t="s">
        <v>1099</v>
      </c>
      <c r="M162" t="s">
        <v>1046</v>
      </c>
      <c r="N162" t="s">
        <v>1047</v>
      </c>
      <c r="O162" t="s">
        <v>530</v>
      </c>
      <c r="P162" t="s">
        <v>1100</v>
      </c>
      <c r="S162">
        <v>15385</v>
      </c>
      <c r="T162" t="s">
        <v>69</v>
      </c>
      <c r="U162" t="s">
        <v>70</v>
      </c>
      <c r="W162" s="23">
        <v>18629</v>
      </c>
      <c r="Y162" s="23">
        <v>18629</v>
      </c>
      <c r="Z162" s="23">
        <v>2958465</v>
      </c>
      <c r="AA162" s="23">
        <v>42976</v>
      </c>
      <c r="AB162" s="21">
        <v>37</v>
      </c>
      <c r="AC162">
        <v>71818</v>
      </c>
      <c r="AD162" t="s">
        <v>71</v>
      </c>
      <c r="AE162" t="s">
        <v>71</v>
      </c>
    </row>
    <row r="163" spans="1:31" x14ac:dyDescent="0.45">
      <c r="A163">
        <v>10046443</v>
      </c>
      <c r="B163" t="s">
        <v>1101</v>
      </c>
      <c r="C163" t="s">
        <v>733</v>
      </c>
      <c r="D163" t="s">
        <v>1102</v>
      </c>
      <c r="E163" t="s">
        <v>0</v>
      </c>
      <c r="F163" t="s">
        <v>415</v>
      </c>
      <c r="G163" t="s">
        <v>416</v>
      </c>
      <c r="H163" t="s">
        <v>1103</v>
      </c>
      <c r="I163" t="s">
        <v>64</v>
      </c>
      <c r="J163" t="s">
        <v>487</v>
      </c>
      <c r="L163" t="s">
        <v>1104</v>
      </c>
      <c r="O163" t="s">
        <v>1105</v>
      </c>
      <c r="P163" t="s">
        <v>1106</v>
      </c>
      <c r="S163">
        <v>15385</v>
      </c>
      <c r="T163" t="s">
        <v>69</v>
      </c>
      <c r="U163" t="s">
        <v>70</v>
      </c>
      <c r="W163" s="23">
        <v>18629</v>
      </c>
      <c r="Y163" s="23">
        <v>42759</v>
      </c>
      <c r="Z163" s="23">
        <v>2958465</v>
      </c>
      <c r="AA163" s="23">
        <v>42976</v>
      </c>
      <c r="AB163" s="21">
        <v>37</v>
      </c>
      <c r="AC163">
        <v>60592</v>
      </c>
      <c r="AD163" t="s">
        <v>71</v>
      </c>
      <c r="AE163" t="s">
        <v>71</v>
      </c>
    </row>
    <row r="164" spans="1:31" x14ac:dyDescent="0.45">
      <c r="A164">
        <v>10046665</v>
      </c>
      <c r="B164" t="s">
        <v>1107</v>
      </c>
      <c r="C164" t="s">
        <v>953</v>
      </c>
      <c r="D164" t="s">
        <v>1108</v>
      </c>
      <c r="E164" t="s">
        <v>0</v>
      </c>
      <c r="F164" t="s">
        <v>415</v>
      </c>
      <c r="G164" t="s">
        <v>416</v>
      </c>
      <c r="H164" t="s">
        <v>1109</v>
      </c>
      <c r="I164" t="s">
        <v>64</v>
      </c>
      <c r="J164" t="s">
        <v>332</v>
      </c>
      <c r="L164" t="s">
        <v>1110</v>
      </c>
      <c r="M164" t="s">
        <v>1065</v>
      </c>
      <c r="O164" t="s">
        <v>530</v>
      </c>
      <c r="P164" t="s">
        <v>1111</v>
      </c>
      <c r="Q164" t="s">
        <v>1112</v>
      </c>
      <c r="S164">
        <v>15386</v>
      </c>
      <c r="T164" t="s">
        <v>98</v>
      </c>
      <c r="U164" t="s">
        <v>70</v>
      </c>
      <c r="W164" s="23">
        <v>18629</v>
      </c>
      <c r="X164" t="s">
        <v>1113</v>
      </c>
      <c r="Y164" s="23">
        <v>41916</v>
      </c>
      <c r="Z164" s="23">
        <v>2958465</v>
      </c>
      <c r="AA164" s="23">
        <v>42976</v>
      </c>
      <c r="AB164" s="21">
        <v>37</v>
      </c>
      <c r="AC164">
        <v>60592</v>
      </c>
      <c r="AD164" t="s">
        <v>71</v>
      </c>
      <c r="AE164" t="s">
        <v>71</v>
      </c>
    </row>
    <row r="165" spans="1:31" x14ac:dyDescent="0.45">
      <c r="A165">
        <v>10046756</v>
      </c>
      <c r="B165" t="s">
        <v>1114</v>
      </c>
      <c r="C165" t="s">
        <v>153</v>
      </c>
      <c r="D165" t="s">
        <v>1115</v>
      </c>
      <c r="E165" t="s">
        <v>0</v>
      </c>
      <c r="F165" t="s">
        <v>415</v>
      </c>
      <c r="G165" t="s">
        <v>534</v>
      </c>
      <c r="H165" t="s">
        <v>1116</v>
      </c>
      <c r="I165" t="s">
        <v>64</v>
      </c>
      <c r="J165" t="s">
        <v>775</v>
      </c>
      <c r="L165" t="s">
        <v>1117</v>
      </c>
      <c r="M165" t="s">
        <v>1085</v>
      </c>
      <c r="O165" t="s">
        <v>944</v>
      </c>
      <c r="P165" t="s">
        <v>1118</v>
      </c>
      <c r="S165">
        <v>15386</v>
      </c>
      <c r="T165" t="s">
        <v>98</v>
      </c>
      <c r="U165" t="s">
        <v>70</v>
      </c>
      <c r="W165" s="23">
        <v>18629</v>
      </c>
      <c r="X165" t="s">
        <v>1119</v>
      </c>
      <c r="Y165" s="23">
        <v>42398</v>
      </c>
      <c r="Z165" s="23">
        <v>2958465</v>
      </c>
      <c r="AA165" s="23">
        <v>42976</v>
      </c>
      <c r="AB165" s="21">
        <v>37</v>
      </c>
      <c r="AC165">
        <v>54336</v>
      </c>
      <c r="AD165" t="s">
        <v>71</v>
      </c>
      <c r="AE165" t="s">
        <v>71</v>
      </c>
    </row>
    <row r="166" spans="1:31" x14ac:dyDescent="0.45">
      <c r="A166">
        <v>10046758</v>
      </c>
      <c r="B166" t="s">
        <v>1120</v>
      </c>
      <c r="C166" t="s">
        <v>153</v>
      </c>
      <c r="D166" t="s">
        <v>485</v>
      </c>
      <c r="E166" t="s">
        <v>0</v>
      </c>
      <c r="F166" t="s">
        <v>415</v>
      </c>
      <c r="G166" t="s">
        <v>416</v>
      </c>
      <c r="H166" t="s">
        <v>1121</v>
      </c>
      <c r="I166" t="s">
        <v>64</v>
      </c>
      <c r="J166" t="s">
        <v>487</v>
      </c>
      <c r="L166" t="s">
        <v>1122</v>
      </c>
      <c r="O166" t="s">
        <v>487</v>
      </c>
      <c r="P166" t="s">
        <v>1123</v>
      </c>
      <c r="Q166">
        <v>1355224451</v>
      </c>
      <c r="S166">
        <v>15385</v>
      </c>
      <c r="T166" t="s">
        <v>69</v>
      </c>
      <c r="U166" t="s">
        <v>70</v>
      </c>
      <c r="W166" s="23">
        <v>18629</v>
      </c>
      <c r="X166" t="s">
        <v>1124</v>
      </c>
      <c r="Y166" s="23">
        <v>42718</v>
      </c>
      <c r="Z166" s="23">
        <v>2958465</v>
      </c>
      <c r="AA166" s="23">
        <v>42976</v>
      </c>
      <c r="AB166" s="21">
        <v>37</v>
      </c>
      <c r="AC166">
        <v>60012</v>
      </c>
      <c r="AD166" t="s">
        <v>71</v>
      </c>
      <c r="AE166" t="s">
        <v>71</v>
      </c>
    </row>
    <row r="167" spans="1:31" x14ac:dyDescent="0.45">
      <c r="A167">
        <v>10046761</v>
      </c>
      <c r="B167" t="s">
        <v>1125</v>
      </c>
      <c r="C167" t="s">
        <v>1126</v>
      </c>
      <c r="D167" t="s">
        <v>1082</v>
      </c>
      <c r="E167" t="s">
        <v>0</v>
      </c>
      <c r="F167" t="s">
        <v>415</v>
      </c>
      <c r="G167" t="s">
        <v>534</v>
      </c>
      <c r="H167" t="s">
        <v>1127</v>
      </c>
      <c r="I167" t="s">
        <v>64</v>
      </c>
      <c r="J167" t="s">
        <v>775</v>
      </c>
      <c r="L167" t="s">
        <v>1128</v>
      </c>
      <c r="M167" t="s">
        <v>1129</v>
      </c>
      <c r="O167" t="s">
        <v>944</v>
      </c>
      <c r="P167" t="s">
        <v>1130</v>
      </c>
      <c r="Q167">
        <v>1233641929</v>
      </c>
      <c r="S167">
        <v>15386</v>
      </c>
      <c r="T167" t="s">
        <v>98</v>
      </c>
      <c r="U167" t="s">
        <v>70</v>
      </c>
      <c r="W167" s="23">
        <v>18629</v>
      </c>
      <c r="X167" t="s">
        <v>1131</v>
      </c>
      <c r="Y167" s="23">
        <v>42282</v>
      </c>
      <c r="Z167" s="23">
        <v>2958465</v>
      </c>
      <c r="AA167" s="23">
        <v>42976</v>
      </c>
      <c r="AB167" s="21">
        <v>37</v>
      </c>
      <c r="AC167">
        <v>56608</v>
      </c>
      <c r="AD167" t="s">
        <v>71</v>
      </c>
      <c r="AE167" t="s">
        <v>71</v>
      </c>
    </row>
    <row r="168" spans="1:31" x14ac:dyDescent="0.45">
      <c r="A168">
        <v>10047733</v>
      </c>
      <c r="B168" t="s">
        <v>1132</v>
      </c>
      <c r="C168" t="s">
        <v>58</v>
      </c>
      <c r="D168" t="s">
        <v>1133</v>
      </c>
      <c r="E168" t="s">
        <v>0</v>
      </c>
      <c r="F168" t="s">
        <v>415</v>
      </c>
      <c r="G168" t="s">
        <v>534</v>
      </c>
      <c r="H168" t="s">
        <v>993</v>
      </c>
      <c r="I168" t="s">
        <v>906</v>
      </c>
      <c r="J168" t="s">
        <v>898</v>
      </c>
      <c r="L168" t="s">
        <v>1134</v>
      </c>
      <c r="M168" t="s">
        <v>995</v>
      </c>
      <c r="O168" t="s">
        <v>996</v>
      </c>
      <c r="P168" t="s">
        <v>1135</v>
      </c>
      <c r="S168">
        <v>15385</v>
      </c>
      <c r="T168" t="s">
        <v>69</v>
      </c>
      <c r="U168" t="s">
        <v>70</v>
      </c>
      <c r="W168" s="23">
        <v>18629</v>
      </c>
      <c r="Y168" s="23">
        <v>18629</v>
      </c>
      <c r="Z168" s="23">
        <v>2958465</v>
      </c>
      <c r="AA168" s="23">
        <v>42976</v>
      </c>
      <c r="AB168" s="21">
        <v>37</v>
      </c>
      <c r="AC168">
        <v>64553</v>
      </c>
      <c r="AD168" t="s">
        <v>71</v>
      </c>
      <c r="AE168" t="s">
        <v>71</v>
      </c>
    </row>
    <row r="169" spans="1:31" x14ac:dyDescent="0.45">
      <c r="A169">
        <v>10049872</v>
      </c>
      <c r="B169" t="s">
        <v>1136</v>
      </c>
      <c r="C169" t="s">
        <v>58</v>
      </c>
      <c r="D169" t="s">
        <v>1137</v>
      </c>
      <c r="E169" t="s">
        <v>320</v>
      </c>
      <c r="F169" t="s">
        <v>356</v>
      </c>
      <c r="G169" t="s">
        <v>1138</v>
      </c>
      <c r="H169" t="s">
        <v>1139</v>
      </c>
      <c r="I169" t="s">
        <v>64</v>
      </c>
      <c r="J169" t="s">
        <v>1140</v>
      </c>
      <c r="S169">
        <v>15385</v>
      </c>
      <c r="T169" t="s">
        <v>69</v>
      </c>
      <c r="U169" t="s">
        <v>70</v>
      </c>
      <c r="W169" s="23">
        <v>18629</v>
      </c>
      <c r="Y169" s="23">
        <v>42690</v>
      </c>
      <c r="Z169" s="23">
        <v>2958465</v>
      </c>
      <c r="AA169" s="23">
        <v>42976</v>
      </c>
      <c r="AB169" s="21">
        <v>37</v>
      </c>
      <c r="AC169">
        <v>50451</v>
      </c>
      <c r="AD169" t="s">
        <v>71</v>
      </c>
      <c r="AE169" t="s">
        <v>71</v>
      </c>
    </row>
    <row r="170" spans="1:31" x14ac:dyDescent="0.45">
      <c r="A170">
        <v>10050094</v>
      </c>
      <c r="B170" t="s">
        <v>1141</v>
      </c>
      <c r="C170" t="s">
        <v>58</v>
      </c>
      <c r="D170" t="s">
        <v>562</v>
      </c>
      <c r="E170" t="s">
        <v>320</v>
      </c>
      <c r="F170" t="s">
        <v>329</v>
      </c>
      <c r="G170" t="s">
        <v>330</v>
      </c>
      <c r="H170" t="s">
        <v>1142</v>
      </c>
      <c r="I170" t="s">
        <v>64</v>
      </c>
      <c r="J170" t="s">
        <v>459</v>
      </c>
      <c r="L170" t="s">
        <v>1143</v>
      </c>
      <c r="O170" t="s">
        <v>504</v>
      </c>
      <c r="P170" t="s">
        <v>1144</v>
      </c>
      <c r="Q170">
        <v>447578020111</v>
      </c>
      <c r="S170">
        <v>15385</v>
      </c>
      <c r="T170" t="s">
        <v>69</v>
      </c>
      <c r="U170" t="s">
        <v>70</v>
      </c>
      <c r="Y170" s="23">
        <v>43273</v>
      </c>
      <c r="AA170" s="23">
        <v>43579</v>
      </c>
      <c r="AB170" s="21">
        <v>37</v>
      </c>
      <c r="AC170">
        <v>49944</v>
      </c>
      <c r="AD170" t="s">
        <v>71</v>
      </c>
      <c r="AE170" t="s">
        <v>71</v>
      </c>
    </row>
    <row r="171" spans="1:31" x14ac:dyDescent="0.45">
      <c r="A171">
        <v>10050094</v>
      </c>
      <c r="B171" t="s">
        <v>1141</v>
      </c>
      <c r="C171" t="s">
        <v>58</v>
      </c>
      <c r="D171" t="s">
        <v>562</v>
      </c>
      <c r="E171" t="s">
        <v>320</v>
      </c>
      <c r="F171" t="s">
        <v>329</v>
      </c>
      <c r="G171" t="s">
        <v>330</v>
      </c>
      <c r="H171" t="s">
        <v>1142</v>
      </c>
      <c r="I171" t="s">
        <v>64</v>
      </c>
      <c r="J171" t="s">
        <v>459</v>
      </c>
      <c r="L171" t="s">
        <v>1143</v>
      </c>
      <c r="O171" t="s">
        <v>504</v>
      </c>
      <c r="P171" t="s">
        <v>1144</v>
      </c>
      <c r="Q171">
        <v>447578020111</v>
      </c>
      <c r="S171">
        <v>15386</v>
      </c>
      <c r="T171" t="s">
        <v>98</v>
      </c>
      <c r="U171" t="s">
        <v>70</v>
      </c>
      <c r="X171" t="s">
        <v>1145</v>
      </c>
      <c r="Y171" s="23">
        <v>42775</v>
      </c>
      <c r="Z171" s="23">
        <v>43272</v>
      </c>
      <c r="AA171" s="23">
        <v>42976</v>
      </c>
      <c r="AB171" s="21">
        <v>37</v>
      </c>
      <c r="AC171">
        <v>49944</v>
      </c>
      <c r="AD171" t="s">
        <v>71</v>
      </c>
      <c r="AE171" t="s">
        <v>71</v>
      </c>
    </row>
    <row r="172" spans="1:31" x14ac:dyDescent="0.45">
      <c r="A172">
        <v>10050095</v>
      </c>
      <c r="B172" t="s">
        <v>1146</v>
      </c>
      <c r="C172" t="s">
        <v>153</v>
      </c>
      <c r="D172" t="s">
        <v>1147</v>
      </c>
      <c r="E172" t="s">
        <v>0</v>
      </c>
      <c r="F172" t="s">
        <v>415</v>
      </c>
      <c r="G172" t="s">
        <v>499</v>
      </c>
      <c r="H172" t="s">
        <v>1148</v>
      </c>
      <c r="I172" t="s">
        <v>64</v>
      </c>
      <c r="J172" t="s">
        <v>501</v>
      </c>
      <c r="L172" t="s">
        <v>1149</v>
      </c>
      <c r="O172" t="s">
        <v>504</v>
      </c>
      <c r="P172" t="s">
        <v>1150</v>
      </c>
      <c r="S172">
        <v>15385</v>
      </c>
      <c r="T172" t="s">
        <v>69</v>
      </c>
      <c r="U172" t="s">
        <v>70</v>
      </c>
      <c r="Y172" s="23">
        <v>43206</v>
      </c>
      <c r="AA172" s="23">
        <v>43263</v>
      </c>
      <c r="AB172" s="21">
        <v>37</v>
      </c>
      <c r="AC172">
        <v>49341</v>
      </c>
      <c r="AD172" t="s">
        <v>71</v>
      </c>
      <c r="AE172" t="s">
        <v>71</v>
      </c>
    </row>
    <row r="173" spans="1:31" x14ac:dyDescent="0.45">
      <c r="A173">
        <v>10050095</v>
      </c>
      <c r="B173" t="s">
        <v>1146</v>
      </c>
      <c r="C173" t="s">
        <v>153</v>
      </c>
      <c r="D173" t="s">
        <v>1147</v>
      </c>
      <c r="E173" t="s">
        <v>0</v>
      </c>
      <c r="F173" t="s">
        <v>415</v>
      </c>
      <c r="G173" t="s">
        <v>499</v>
      </c>
      <c r="H173" t="s">
        <v>1148</v>
      </c>
      <c r="I173" t="s">
        <v>64</v>
      </c>
      <c r="J173" t="s">
        <v>501</v>
      </c>
      <c r="L173" t="s">
        <v>1149</v>
      </c>
      <c r="O173" t="s">
        <v>504</v>
      </c>
      <c r="P173" t="s">
        <v>1150</v>
      </c>
      <c r="S173">
        <v>15386</v>
      </c>
      <c r="T173" t="s">
        <v>98</v>
      </c>
      <c r="U173" t="s">
        <v>70</v>
      </c>
      <c r="Y173" s="23">
        <v>42738</v>
      </c>
      <c r="Z173" s="23">
        <v>43205</v>
      </c>
      <c r="AA173" s="23">
        <v>42976</v>
      </c>
      <c r="AB173" s="21">
        <v>37</v>
      </c>
      <c r="AC173">
        <v>49341</v>
      </c>
      <c r="AD173" t="s">
        <v>71</v>
      </c>
      <c r="AE173" t="s">
        <v>71</v>
      </c>
    </row>
    <row r="174" spans="1:31" x14ac:dyDescent="0.45">
      <c r="A174">
        <v>10050110</v>
      </c>
      <c r="B174" t="s">
        <v>1151</v>
      </c>
      <c r="C174" t="s">
        <v>1152</v>
      </c>
      <c r="D174" t="s">
        <v>370</v>
      </c>
      <c r="E174" t="s">
        <v>347</v>
      </c>
      <c r="F174" t="s">
        <v>1153</v>
      </c>
      <c r="G174" t="s">
        <v>1154</v>
      </c>
      <c r="H174" t="s">
        <v>1155</v>
      </c>
      <c r="I174" t="s">
        <v>64</v>
      </c>
      <c r="J174" t="s">
        <v>114</v>
      </c>
      <c r="L174" t="s">
        <v>1156</v>
      </c>
      <c r="O174" t="s">
        <v>1157</v>
      </c>
      <c r="P174" t="s">
        <v>1158</v>
      </c>
      <c r="S174">
        <v>15385</v>
      </c>
      <c r="T174" t="s">
        <v>69</v>
      </c>
      <c r="U174" t="s">
        <v>70</v>
      </c>
      <c r="W174" s="23">
        <v>18629</v>
      </c>
      <c r="X174">
        <v>513277759</v>
      </c>
      <c r="Y174" s="23">
        <v>41174</v>
      </c>
      <c r="Z174" s="23">
        <v>2958465</v>
      </c>
      <c r="AA174" s="23">
        <v>42976</v>
      </c>
      <c r="AB174" s="21">
        <v>37</v>
      </c>
      <c r="AC174">
        <v>52114</v>
      </c>
      <c r="AD174" t="s">
        <v>71</v>
      </c>
      <c r="AE174" t="s">
        <v>71</v>
      </c>
    </row>
    <row r="175" spans="1:31" x14ac:dyDescent="0.45">
      <c r="A175">
        <v>10050152</v>
      </c>
      <c r="B175" t="s">
        <v>1159</v>
      </c>
      <c r="C175" t="s">
        <v>83</v>
      </c>
      <c r="D175" t="s">
        <v>1160</v>
      </c>
      <c r="E175" t="s">
        <v>0</v>
      </c>
      <c r="F175" t="s">
        <v>415</v>
      </c>
      <c r="G175" t="s">
        <v>416</v>
      </c>
      <c r="H175" t="s">
        <v>1161</v>
      </c>
      <c r="I175" t="s">
        <v>64</v>
      </c>
      <c r="J175" t="s">
        <v>332</v>
      </c>
      <c r="L175" t="s">
        <v>1162</v>
      </c>
      <c r="M175" t="s">
        <v>1163</v>
      </c>
      <c r="O175" t="s">
        <v>334</v>
      </c>
      <c r="P175" t="s">
        <v>1164</v>
      </c>
      <c r="S175">
        <v>15385</v>
      </c>
      <c r="T175" t="s">
        <v>69</v>
      </c>
      <c r="U175" t="s">
        <v>70</v>
      </c>
      <c r="W175" s="23">
        <v>18629</v>
      </c>
      <c r="X175" t="s">
        <v>1165</v>
      </c>
      <c r="Y175" s="23">
        <v>40931</v>
      </c>
      <c r="Z175" s="23">
        <v>2958465</v>
      </c>
      <c r="AA175" s="23">
        <v>42976</v>
      </c>
      <c r="AB175" s="21">
        <v>37</v>
      </c>
      <c r="AC175">
        <v>71818</v>
      </c>
      <c r="AD175" t="s">
        <v>71</v>
      </c>
      <c r="AE175" t="s">
        <v>71</v>
      </c>
    </row>
    <row r="176" spans="1:31" x14ac:dyDescent="0.45">
      <c r="A176">
        <v>10050177</v>
      </c>
      <c r="B176" t="s">
        <v>1166</v>
      </c>
      <c r="C176" t="s">
        <v>554</v>
      </c>
      <c r="D176" t="s">
        <v>1167</v>
      </c>
      <c r="E176" t="s">
        <v>0</v>
      </c>
      <c r="F176" t="s">
        <v>415</v>
      </c>
      <c r="G176" t="s">
        <v>416</v>
      </c>
      <c r="H176" t="s">
        <v>1168</v>
      </c>
      <c r="I176" t="s">
        <v>64</v>
      </c>
      <c r="J176" t="s">
        <v>332</v>
      </c>
      <c r="L176" t="s">
        <v>1169</v>
      </c>
      <c r="M176" t="s">
        <v>332</v>
      </c>
      <c r="O176" t="s">
        <v>530</v>
      </c>
      <c r="P176" t="s">
        <v>1170</v>
      </c>
      <c r="S176">
        <v>15386</v>
      </c>
      <c r="T176" t="s">
        <v>98</v>
      </c>
      <c r="U176" t="s">
        <v>70</v>
      </c>
      <c r="V176" s="23">
        <v>45565</v>
      </c>
      <c r="X176" t="s">
        <v>1171</v>
      </c>
      <c r="Y176" s="23">
        <v>42885</v>
      </c>
      <c r="Z176" s="23">
        <v>45657</v>
      </c>
      <c r="AA176" s="23">
        <v>43035</v>
      </c>
      <c r="AB176" s="21">
        <v>37</v>
      </c>
      <c r="AC176">
        <v>55470</v>
      </c>
      <c r="AD176" t="s">
        <v>71</v>
      </c>
      <c r="AE176" t="s">
        <v>71</v>
      </c>
    </row>
    <row r="177" spans="1:31" x14ac:dyDescent="0.45">
      <c r="A177">
        <v>10050177</v>
      </c>
      <c r="B177" t="s">
        <v>1166</v>
      </c>
      <c r="C177" t="s">
        <v>554</v>
      </c>
      <c r="D177" t="s">
        <v>1167</v>
      </c>
      <c r="E177" t="s">
        <v>0</v>
      </c>
      <c r="F177" t="s">
        <v>415</v>
      </c>
      <c r="G177" t="s">
        <v>416</v>
      </c>
      <c r="H177" t="s">
        <v>1168</v>
      </c>
      <c r="I177" t="s">
        <v>64</v>
      </c>
      <c r="J177" t="s">
        <v>332</v>
      </c>
      <c r="L177" t="s">
        <v>1169</v>
      </c>
      <c r="M177" t="s">
        <v>332</v>
      </c>
      <c r="O177" t="s">
        <v>530</v>
      </c>
      <c r="P177" t="s">
        <v>1170</v>
      </c>
      <c r="R177" t="s">
        <v>1172</v>
      </c>
      <c r="S177">
        <v>15394</v>
      </c>
      <c r="T177" t="s">
        <v>543</v>
      </c>
      <c r="U177" t="s">
        <v>70</v>
      </c>
      <c r="V177" s="23">
        <v>42868</v>
      </c>
      <c r="W177" s="23">
        <v>43325</v>
      </c>
      <c r="X177" t="s">
        <v>1173</v>
      </c>
      <c r="Y177" s="23">
        <v>42137</v>
      </c>
      <c r="Z177" s="23">
        <v>43325</v>
      </c>
      <c r="AA177" s="23">
        <v>42976</v>
      </c>
      <c r="AB177" s="21">
        <v>37</v>
      </c>
      <c r="AC177">
        <v>55470</v>
      </c>
      <c r="AD177" t="s">
        <v>71</v>
      </c>
      <c r="AE177" t="s">
        <v>71</v>
      </c>
    </row>
    <row r="178" spans="1:31" x14ac:dyDescent="0.45">
      <c r="A178">
        <v>10050360</v>
      </c>
      <c r="B178" t="s">
        <v>1174</v>
      </c>
      <c r="C178" t="s">
        <v>192</v>
      </c>
      <c r="D178" t="s">
        <v>1175</v>
      </c>
      <c r="E178" t="s">
        <v>0</v>
      </c>
      <c r="F178" t="s">
        <v>415</v>
      </c>
      <c r="G178" t="s">
        <v>534</v>
      </c>
      <c r="H178" t="s">
        <v>1176</v>
      </c>
      <c r="I178" t="s">
        <v>64</v>
      </c>
      <c r="J178" t="s">
        <v>898</v>
      </c>
      <c r="L178" t="s">
        <v>1177</v>
      </c>
      <c r="O178" t="s">
        <v>1178</v>
      </c>
      <c r="P178" t="s">
        <v>1179</v>
      </c>
      <c r="S178">
        <v>15386</v>
      </c>
      <c r="T178" t="s">
        <v>98</v>
      </c>
      <c r="U178" t="s">
        <v>70</v>
      </c>
      <c r="W178" s="23">
        <v>18629</v>
      </c>
      <c r="X178" t="s">
        <v>1180</v>
      </c>
      <c r="Y178" s="23">
        <v>41682</v>
      </c>
      <c r="Z178" s="23">
        <v>2958465</v>
      </c>
      <c r="AA178" s="23">
        <v>42976</v>
      </c>
      <c r="AB178" s="21">
        <v>37</v>
      </c>
      <c r="AC178">
        <v>50731</v>
      </c>
      <c r="AD178" t="s">
        <v>71</v>
      </c>
      <c r="AE178" t="s">
        <v>71</v>
      </c>
    </row>
    <row r="179" spans="1:31" x14ac:dyDescent="0.45">
      <c r="A179">
        <v>10050644</v>
      </c>
      <c r="B179" t="s">
        <v>1181</v>
      </c>
      <c r="C179" t="s">
        <v>83</v>
      </c>
      <c r="D179" t="s">
        <v>1182</v>
      </c>
      <c r="E179" t="s">
        <v>0</v>
      </c>
      <c r="F179" t="s">
        <v>415</v>
      </c>
      <c r="G179" t="s">
        <v>534</v>
      </c>
      <c r="H179" t="s">
        <v>1183</v>
      </c>
      <c r="I179" t="s">
        <v>64</v>
      </c>
      <c r="J179" t="s">
        <v>775</v>
      </c>
      <c r="L179" t="s">
        <v>1184</v>
      </c>
      <c r="O179" t="s">
        <v>944</v>
      </c>
      <c r="P179" t="s">
        <v>1185</v>
      </c>
      <c r="S179">
        <v>15386</v>
      </c>
      <c r="T179" t="s">
        <v>98</v>
      </c>
      <c r="U179" t="s">
        <v>70</v>
      </c>
      <c r="V179" s="23">
        <v>45565</v>
      </c>
      <c r="X179" t="s">
        <v>1186</v>
      </c>
      <c r="Y179" s="23">
        <v>43109</v>
      </c>
      <c r="Z179" s="23">
        <v>45657</v>
      </c>
      <c r="AA179" s="23">
        <v>43117</v>
      </c>
      <c r="AB179" s="21">
        <v>37</v>
      </c>
      <c r="AC179">
        <v>48432</v>
      </c>
      <c r="AD179" t="s">
        <v>71</v>
      </c>
      <c r="AE179" t="s">
        <v>71</v>
      </c>
    </row>
    <row r="180" spans="1:31" x14ac:dyDescent="0.45">
      <c r="A180">
        <v>10050644</v>
      </c>
      <c r="B180" t="s">
        <v>1181</v>
      </c>
      <c r="C180" t="s">
        <v>83</v>
      </c>
      <c r="D180" t="s">
        <v>1182</v>
      </c>
      <c r="E180" t="s">
        <v>0</v>
      </c>
      <c r="F180" t="s">
        <v>415</v>
      </c>
      <c r="G180" t="s">
        <v>534</v>
      </c>
      <c r="H180" t="s">
        <v>1183</v>
      </c>
      <c r="I180" t="s">
        <v>64</v>
      </c>
      <c r="J180" t="s">
        <v>775</v>
      </c>
      <c r="L180" t="s">
        <v>1184</v>
      </c>
      <c r="O180" t="s">
        <v>944</v>
      </c>
      <c r="P180" t="s">
        <v>1185</v>
      </c>
      <c r="R180" t="s">
        <v>1187</v>
      </c>
      <c r="S180">
        <v>15394</v>
      </c>
      <c r="T180" t="s">
        <v>543</v>
      </c>
      <c r="U180" t="s">
        <v>70</v>
      </c>
      <c r="V180" s="23">
        <v>42759</v>
      </c>
      <c r="W180" s="23">
        <v>43370</v>
      </c>
      <c r="X180" t="s">
        <v>1188</v>
      </c>
      <c r="Y180" s="23">
        <v>42258</v>
      </c>
      <c r="Z180" s="23">
        <v>43370</v>
      </c>
      <c r="AA180" s="23">
        <v>42976</v>
      </c>
      <c r="AB180" s="21">
        <v>37</v>
      </c>
      <c r="AC180">
        <v>48432</v>
      </c>
      <c r="AD180" t="s">
        <v>71</v>
      </c>
      <c r="AE180" t="s">
        <v>71</v>
      </c>
    </row>
    <row r="181" spans="1:31" x14ac:dyDescent="0.45">
      <c r="A181">
        <v>10050893</v>
      </c>
      <c r="B181" t="s">
        <v>1189</v>
      </c>
      <c r="C181" t="s">
        <v>83</v>
      </c>
      <c r="D181" t="s">
        <v>1190</v>
      </c>
      <c r="E181" t="s">
        <v>0</v>
      </c>
      <c r="F181" t="s">
        <v>415</v>
      </c>
      <c r="G181" t="s">
        <v>499</v>
      </c>
      <c r="H181" t="s">
        <v>1191</v>
      </c>
      <c r="I181" t="s">
        <v>64</v>
      </c>
      <c r="J181" t="s">
        <v>1192</v>
      </c>
      <c r="L181" t="s">
        <v>1193</v>
      </c>
      <c r="M181" t="s">
        <v>1194</v>
      </c>
      <c r="N181" t="s">
        <v>1195</v>
      </c>
      <c r="O181" t="s">
        <v>1196</v>
      </c>
      <c r="P181" t="s">
        <v>1197</v>
      </c>
      <c r="Q181" t="s">
        <v>1198</v>
      </c>
      <c r="S181">
        <v>15385</v>
      </c>
      <c r="T181" t="s">
        <v>69</v>
      </c>
      <c r="U181" t="s">
        <v>70</v>
      </c>
      <c r="W181" s="23">
        <v>18629</v>
      </c>
      <c r="Y181" s="23">
        <v>18629</v>
      </c>
      <c r="Z181" s="23">
        <v>2958465</v>
      </c>
      <c r="AA181" s="23">
        <v>42976</v>
      </c>
      <c r="AB181" s="21">
        <v>37</v>
      </c>
      <c r="AC181">
        <v>60592</v>
      </c>
      <c r="AD181" t="s">
        <v>71</v>
      </c>
      <c r="AE181" t="s">
        <v>71</v>
      </c>
    </row>
    <row r="182" spans="1:31" x14ac:dyDescent="0.45">
      <c r="A182">
        <v>10051708</v>
      </c>
      <c r="B182" t="s">
        <v>1199</v>
      </c>
      <c r="C182" t="s">
        <v>58</v>
      </c>
      <c r="D182" t="s">
        <v>1012</v>
      </c>
      <c r="E182" t="s">
        <v>0</v>
      </c>
      <c r="F182" t="s">
        <v>415</v>
      </c>
      <c r="G182" t="s">
        <v>416</v>
      </c>
      <c r="H182" t="s">
        <v>1013</v>
      </c>
      <c r="I182" t="s">
        <v>64</v>
      </c>
      <c r="J182" t="s">
        <v>332</v>
      </c>
      <c r="L182" t="s">
        <v>1200</v>
      </c>
      <c r="M182" t="s">
        <v>1201</v>
      </c>
      <c r="N182" t="s">
        <v>1202</v>
      </c>
      <c r="O182" t="s">
        <v>850</v>
      </c>
      <c r="P182" t="s">
        <v>1203</v>
      </c>
      <c r="S182">
        <v>15386</v>
      </c>
      <c r="T182" t="s">
        <v>98</v>
      </c>
      <c r="U182" t="s">
        <v>70</v>
      </c>
      <c r="V182" s="23">
        <v>45565</v>
      </c>
      <c r="X182" t="s">
        <v>1204</v>
      </c>
      <c r="Y182" s="23">
        <v>42986</v>
      </c>
      <c r="Z182" s="23">
        <v>45657</v>
      </c>
      <c r="AA182" s="23">
        <v>42996</v>
      </c>
      <c r="AB182" s="21">
        <v>37</v>
      </c>
      <c r="AC182">
        <v>52067</v>
      </c>
      <c r="AD182" t="s">
        <v>71</v>
      </c>
      <c r="AE182" t="s">
        <v>71</v>
      </c>
    </row>
    <row r="183" spans="1:31" x14ac:dyDescent="0.45">
      <c r="A183">
        <v>10051961</v>
      </c>
      <c r="B183" t="s">
        <v>1205</v>
      </c>
      <c r="C183" t="s">
        <v>1206</v>
      </c>
      <c r="D183" t="s">
        <v>1207</v>
      </c>
      <c r="E183" t="s">
        <v>517</v>
      </c>
      <c r="F183" t="s">
        <v>1208</v>
      </c>
      <c r="G183" t="s">
        <v>1209</v>
      </c>
      <c r="H183" t="s">
        <v>1210</v>
      </c>
      <c r="I183" t="s">
        <v>64</v>
      </c>
      <c r="J183" t="s">
        <v>1211</v>
      </c>
      <c r="K183" t="s">
        <v>114</v>
      </c>
      <c r="L183" t="s">
        <v>1212</v>
      </c>
      <c r="O183" t="s">
        <v>1213</v>
      </c>
      <c r="P183" t="s">
        <v>1214</v>
      </c>
      <c r="S183">
        <v>15385</v>
      </c>
      <c r="T183" t="s">
        <v>69</v>
      </c>
      <c r="U183" t="s">
        <v>70</v>
      </c>
      <c r="W183" s="23">
        <v>18629</v>
      </c>
      <c r="Y183" s="23">
        <v>42648</v>
      </c>
      <c r="Z183" s="23">
        <v>2958465</v>
      </c>
      <c r="AA183" s="23">
        <v>42976</v>
      </c>
      <c r="AB183" s="21">
        <v>37</v>
      </c>
      <c r="AC183">
        <v>78970</v>
      </c>
      <c r="AD183" t="s">
        <v>71</v>
      </c>
      <c r="AE183" t="s">
        <v>71</v>
      </c>
    </row>
    <row r="184" spans="1:31" x14ac:dyDescent="0.45">
      <c r="A184">
        <v>20000193</v>
      </c>
      <c r="B184" t="s">
        <v>1215</v>
      </c>
      <c r="C184" t="s">
        <v>399</v>
      </c>
      <c r="D184" t="s">
        <v>1216</v>
      </c>
      <c r="E184" t="s">
        <v>294</v>
      </c>
      <c r="F184" t="s">
        <v>295</v>
      </c>
      <c r="G184" t="s">
        <v>1217</v>
      </c>
      <c r="H184" t="s">
        <v>1218</v>
      </c>
      <c r="I184" t="s">
        <v>64</v>
      </c>
      <c r="J184" t="s">
        <v>65</v>
      </c>
      <c r="L184" t="s">
        <v>1219</v>
      </c>
      <c r="O184" t="s">
        <v>80</v>
      </c>
      <c r="P184" t="s">
        <v>1220</v>
      </c>
      <c r="S184">
        <v>15386</v>
      </c>
      <c r="T184" t="s">
        <v>98</v>
      </c>
      <c r="U184" t="s">
        <v>70</v>
      </c>
      <c r="V184" s="23">
        <v>45565</v>
      </c>
      <c r="Y184" s="23">
        <v>42756</v>
      </c>
      <c r="Z184" s="23">
        <v>45657</v>
      </c>
      <c r="AA184" s="23">
        <v>43039</v>
      </c>
      <c r="AB184" s="21">
        <v>37</v>
      </c>
      <c r="AC184">
        <v>61647</v>
      </c>
      <c r="AD184" t="s">
        <v>71</v>
      </c>
      <c r="AE184" t="s">
        <v>71</v>
      </c>
    </row>
    <row r="185" spans="1:31" x14ac:dyDescent="0.45">
      <c r="A185">
        <v>20000978</v>
      </c>
      <c r="B185" t="s">
        <v>1221</v>
      </c>
      <c r="C185" t="s">
        <v>484</v>
      </c>
      <c r="D185" t="s">
        <v>1222</v>
      </c>
      <c r="E185" t="s">
        <v>1</v>
      </c>
      <c r="F185" t="s">
        <v>102</v>
      </c>
      <c r="G185" t="s">
        <v>170</v>
      </c>
      <c r="H185" t="s">
        <v>807</v>
      </c>
      <c r="I185" t="s">
        <v>1223</v>
      </c>
      <c r="J185" t="s">
        <v>281</v>
      </c>
      <c r="K185" t="s">
        <v>77</v>
      </c>
      <c r="L185" t="s">
        <v>1224</v>
      </c>
      <c r="O185" t="s">
        <v>1225</v>
      </c>
      <c r="P185" t="s">
        <v>1226</v>
      </c>
      <c r="S185">
        <v>15386</v>
      </c>
      <c r="T185" t="s">
        <v>98</v>
      </c>
      <c r="U185" t="s">
        <v>70</v>
      </c>
      <c r="V185" s="23">
        <v>45365</v>
      </c>
      <c r="X185" t="s">
        <v>1227</v>
      </c>
      <c r="Y185" s="23">
        <v>43630</v>
      </c>
      <c r="Z185" s="23">
        <v>45457</v>
      </c>
      <c r="AA185" s="23">
        <v>43690</v>
      </c>
      <c r="AB185" s="21">
        <v>40</v>
      </c>
      <c r="AC185">
        <v>22812</v>
      </c>
      <c r="AD185" t="s">
        <v>71</v>
      </c>
      <c r="AE185" t="s">
        <v>71</v>
      </c>
    </row>
    <row r="186" spans="1:31" x14ac:dyDescent="0.45">
      <c r="A186">
        <v>20000978</v>
      </c>
      <c r="B186" t="s">
        <v>1221</v>
      </c>
      <c r="C186" t="s">
        <v>484</v>
      </c>
      <c r="D186" t="s">
        <v>1222</v>
      </c>
      <c r="E186" t="s">
        <v>1</v>
      </c>
      <c r="F186" t="s">
        <v>102</v>
      </c>
      <c r="G186" t="s">
        <v>170</v>
      </c>
      <c r="H186" t="s">
        <v>807</v>
      </c>
      <c r="I186" t="s">
        <v>1223</v>
      </c>
      <c r="J186" t="s">
        <v>281</v>
      </c>
      <c r="K186" t="s">
        <v>77</v>
      </c>
      <c r="L186" t="s">
        <v>1224</v>
      </c>
      <c r="O186" t="s">
        <v>1225</v>
      </c>
      <c r="P186" t="s">
        <v>1226</v>
      </c>
      <c r="S186">
        <v>15411</v>
      </c>
      <c r="T186" t="s">
        <v>739</v>
      </c>
      <c r="U186" t="s">
        <v>70</v>
      </c>
      <c r="Y186" s="23">
        <v>41962</v>
      </c>
      <c r="Z186" s="23">
        <v>43630</v>
      </c>
      <c r="AA186" s="23">
        <v>43055</v>
      </c>
      <c r="AB186" s="21">
        <v>40</v>
      </c>
      <c r="AC186">
        <v>22812</v>
      </c>
      <c r="AD186" t="s">
        <v>71</v>
      </c>
      <c r="AE186" t="s">
        <v>71</v>
      </c>
    </row>
    <row r="187" spans="1:31" x14ac:dyDescent="0.45">
      <c r="A187">
        <v>20001369</v>
      </c>
      <c r="B187" t="s">
        <v>1228</v>
      </c>
      <c r="C187" t="s">
        <v>83</v>
      </c>
      <c r="D187" t="s">
        <v>1229</v>
      </c>
      <c r="E187" t="s">
        <v>433</v>
      </c>
      <c r="F187" t="s">
        <v>434</v>
      </c>
      <c r="G187" t="s">
        <v>1230</v>
      </c>
      <c r="H187" t="s">
        <v>436</v>
      </c>
      <c r="I187" t="s">
        <v>64</v>
      </c>
      <c r="J187" t="s">
        <v>437</v>
      </c>
      <c r="L187" t="s">
        <v>1231</v>
      </c>
      <c r="M187" t="s">
        <v>1232</v>
      </c>
      <c r="O187" t="s">
        <v>1233</v>
      </c>
      <c r="P187" t="s">
        <v>1234</v>
      </c>
      <c r="R187" t="s">
        <v>1235</v>
      </c>
      <c r="S187">
        <v>15393</v>
      </c>
      <c r="T187" t="s">
        <v>670</v>
      </c>
      <c r="U187" t="s">
        <v>70</v>
      </c>
      <c r="V187" s="23">
        <v>44091</v>
      </c>
      <c r="W187" s="23">
        <v>44166</v>
      </c>
      <c r="X187" t="s">
        <v>1236</v>
      </c>
      <c r="Y187" s="23">
        <v>43070</v>
      </c>
      <c r="Z187" s="23">
        <v>44182</v>
      </c>
      <c r="AA187" s="23">
        <v>43081</v>
      </c>
      <c r="AB187" s="21">
        <v>37</v>
      </c>
      <c r="AC187">
        <v>51900</v>
      </c>
      <c r="AD187" t="s">
        <v>71</v>
      </c>
      <c r="AE187" t="s">
        <v>71</v>
      </c>
    </row>
    <row r="188" spans="1:31" x14ac:dyDescent="0.45">
      <c r="A188">
        <v>20001571</v>
      </c>
      <c r="B188" t="s">
        <v>1237</v>
      </c>
      <c r="C188" t="s">
        <v>211</v>
      </c>
      <c r="D188" t="s">
        <v>1238</v>
      </c>
      <c r="E188" t="s">
        <v>1</v>
      </c>
      <c r="F188" t="s">
        <v>74</v>
      </c>
      <c r="G188" t="s">
        <v>75</v>
      </c>
      <c r="H188" t="s">
        <v>1239</v>
      </c>
      <c r="I188" t="s">
        <v>64</v>
      </c>
      <c r="J188" t="s">
        <v>77</v>
      </c>
      <c r="L188" t="s">
        <v>1240</v>
      </c>
      <c r="O188" t="s">
        <v>1241</v>
      </c>
      <c r="P188" t="s">
        <v>1242</v>
      </c>
      <c r="S188">
        <v>15409</v>
      </c>
      <c r="T188" t="s">
        <v>794</v>
      </c>
      <c r="U188" t="s">
        <v>70</v>
      </c>
      <c r="V188" s="23">
        <v>44389</v>
      </c>
      <c r="X188" t="s">
        <v>1243</v>
      </c>
      <c r="Y188" s="23">
        <v>43551</v>
      </c>
      <c r="Z188" s="23">
        <v>44481</v>
      </c>
      <c r="AA188" s="23">
        <v>43564</v>
      </c>
      <c r="AB188" s="21">
        <v>37</v>
      </c>
      <c r="AC188">
        <v>29467</v>
      </c>
      <c r="AD188" t="s">
        <v>71</v>
      </c>
      <c r="AE188" t="s">
        <v>71</v>
      </c>
    </row>
    <row r="189" spans="1:31" x14ac:dyDescent="0.45">
      <c r="A189">
        <v>20001571</v>
      </c>
      <c r="B189" t="s">
        <v>1237</v>
      </c>
      <c r="C189" t="s">
        <v>211</v>
      </c>
      <c r="D189" t="s">
        <v>1238</v>
      </c>
      <c r="E189" t="s">
        <v>1</v>
      </c>
      <c r="F189" t="s">
        <v>74</v>
      </c>
      <c r="G189" t="s">
        <v>75</v>
      </c>
      <c r="H189" t="s">
        <v>1239</v>
      </c>
      <c r="I189" t="s">
        <v>64</v>
      </c>
      <c r="J189" t="s">
        <v>77</v>
      </c>
      <c r="L189" t="s">
        <v>1240</v>
      </c>
      <c r="O189" t="s">
        <v>1241</v>
      </c>
      <c r="P189" t="s">
        <v>1242</v>
      </c>
      <c r="S189">
        <v>15388</v>
      </c>
      <c r="T189" t="s">
        <v>1244</v>
      </c>
      <c r="U189" t="s">
        <v>70</v>
      </c>
      <c r="X189" t="s">
        <v>1245</v>
      </c>
      <c r="Y189" s="23">
        <v>42532</v>
      </c>
      <c r="Z189" s="23">
        <v>43521</v>
      </c>
      <c r="AA189" s="23">
        <v>43105</v>
      </c>
      <c r="AB189" s="21">
        <v>37</v>
      </c>
      <c r="AC189">
        <v>29467</v>
      </c>
      <c r="AD189" t="s">
        <v>71</v>
      </c>
      <c r="AE189" t="s">
        <v>71</v>
      </c>
    </row>
    <row r="190" spans="1:31" x14ac:dyDescent="0.45">
      <c r="A190">
        <v>20001608</v>
      </c>
      <c r="B190" t="s">
        <v>1246</v>
      </c>
      <c r="C190" t="s">
        <v>1206</v>
      </c>
      <c r="D190" t="s">
        <v>424</v>
      </c>
      <c r="E190" t="s">
        <v>320</v>
      </c>
      <c r="F190" t="s">
        <v>356</v>
      </c>
      <c r="G190" t="s">
        <v>425</v>
      </c>
      <c r="H190" t="s">
        <v>598</v>
      </c>
      <c r="I190" t="s">
        <v>64</v>
      </c>
      <c r="J190" t="s">
        <v>320</v>
      </c>
      <c r="K190" t="s">
        <v>427</v>
      </c>
      <c r="L190" t="s">
        <v>1247</v>
      </c>
      <c r="M190" t="s">
        <v>1248</v>
      </c>
      <c r="O190" t="s">
        <v>850</v>
      </c>
      <c r="P190" t="s">
        <v>1249</v>
      </c>
      <c r="R190" t="s">
        <v>1250</v>
      </c>
      <c r="S190">
        <v>15393</v>
      </c>
      <c r="T190" t="s">
        <v>670</v>
      </c>
      <c r="U190" t="s">
        <v>70</v>
      </c>
      <c r="V190" s="23">
        <v>44099</v>
      </c>
      <c r="W190" s="23">
        <v>44190</v>
      </c>
      <c r="X190" t="s">
        <v>1251</v>
      </c>
      <c r="Y190" s="23">
        <v>43092</v>
      </c>
      <c r="Z190" s="23">
        <v>44190</v>
      </c>
      <c r="AA190" s="23">
        <v>43108</v>
      </c>
      <c r="AB190" s="21">
        <v>37</v>
      </c>
      <c r="AC190">
        <v>35975</v>
      </c>
      <c r="AD190" t="s">
        <v>71</v>
      </c>
      <c r="AE190" t="s">
        <v>71</v>
      </c>
    </row>
    <row r="191" spans="1:31" x14ac:dyDescent="0.45">
      <c r="A191">
        <v>20001873</v>
      </c>
      <c r="B191" t="s">
        <v>1252</v>
      </c>
      <c r="C191" t="s">
        <v>83</v>
      </c>
      <c r="D191" t="s">
        <v>1253</v>
      </c>
      <c r="E191" t="s">
        <v>0</v>
      </c>
      <c r="F191" t="s">
        <v>415</v>
      </c>
      <c r="G191" t="s">
        <v>416</v>
      </c>
      <c r="H191" t="s">
        <v>638</v>
      </c>
      <c r="I191" t="s">
        <v>64</v>
      </c>
      <c r="J191" t="s">
        <v>332</v>
      </c>
      <c r="L191" t="s">
        <v>1254</v>
      </c>
      <c r="M191" t="s">
        <v>1255</v>
      </c>
      <c r="O191" t="s">
        <v>530</v>
      </c>
      <c r="P191" t="s">
        <v>1256</v>
      </c>
      <c r="S191">
        <v>15386</v>
      </c>
      <c r="T191" t="s">
        <v>98</v>
      </c>
      <c r="U191" t="s">
        <v>70</v>
      </c>
      <c r="V191" s="23">
        <v>44813</v>
      </c>
      <c r="X191" t="s">
        <v>1257</v>
      </c>
      <c r="Y191" s="23">
        <v>41254</v>
      </c>
      <c r="Z191" s="23">
        <v>44906</v>
      </c>
      <c r="AA191" s="23">
        <v>43552</v>
      </c>
      <c r="AB191" s="21">
        <v>37</v>
      </c>
      <c r="AC191">
        <v>42077</v>
      </c>
      <c r="AD191" t="s">
        <v>71</v>
      </c>
      <c r="AE191" t="s">
        <v>71</v>
      </c>
    </row>
    <row r="192" spans="1:31" x14ac:dyDescent="0.45">
      <c r="A192">
        <v>20003879</v>
      </c>
      <c r="B192" t="s">
        <v>1258</v>
      </c>
      <c r="C192" t="s">
        <v>399</v>
      </c>
      <c r="D192" t="s">
        <v>1259</v>
      </c>
      <c r="E192" t="s">
        <v>467</v>
      </c>
      <c r="F192" t="s">
        <v>1260</v>
      </c>
      <c r="G192" t="s">
        <v>1261</v>
      </c>
      <c r="H192" t="s">
        <v>1262</v>
      </c>
      <c r="I192" t="s">
        <v>64</v>
      </c>
      <c r="J192" t="s">
        <v>114</v>
      </c>
      <c r="L192" t="s">
        <v>1263</v>
      </c>
      <c r="M192" t="s">
        <v>1264</v>
      </c>
      <c r="N192" t="s">
        <v>1265</v>
      </c>
      <c r="O192" t="s">
        <v>80</v>
      </c>
      <c r="P192" t="s">
        <v>1266</v>
      </c>
      <c r="S192">
        <v>15404</v>
      </c>
      <c r="T192" t="s">
        <v>585</v>
      </c>
      <c r="U192" t="s">
        <v>70</v>
      </c>
      <c r="V192" s="23">
        <v>44245</v>
      </c>
      <c r="X192" t="s">
        <v>1267</v>
      </c>
      <c r="Y192" s="23">
        <v>42494</v>
      </c>
      <c r="Z192" s="23">
        <v>44334</v>
      </c>
      <c r="AA192" s="23">
        <v>43308</v>
      </c>
      <c r="AB192" s="21">
        <v>37</v>
      </c>
      <c r="AC192">
        <v>75938</v>
      </c>
      <c r="AD192" t="s">
        <v>71</v>
      </c>
      <c r="AE192" t="s">
        <v>71</v>
      </c>
    </row>
    <row r="193" spans="1:31" x14ac:dyDescent="0.45">
      <c r="A193">
        <v>20004486</v>
      </c>
      <c r="B193" t="s">
        <v>1268</v>
      </c>
      <c r="C193" t="s">
        <v>554</v>
      </c>
      <c r="D193" t="s">
        <v>1269</v>
      </c>
      <c r="E193" t="s">
        <v>517</v>
      </c>
      <c r="F193" t="s">
        <v>1270</v>
      </c>
      <c r="G193" t="s">
        <v>1271</v>
      </c>
      <c r="H193" t="s">
        <v>1272</v>
      </c>
      <c r="I193" t="s">
        <v>64</v>
      </c>
      <c r="J193" t="s">
        <v>105</v>
      </c>
      <c r="L193" t="s">
        <v>1273</v>
      </c>
      <c r="M193" t="s">
        <v>1274</v>
      </c>
      <c r="O193" t="s">
        <v>80</v>
      </c>
      <c r="P193" t="s">
        <v>1275</v>
      </c>
      <c r="R193" t="s">
        <v>1276</v>
      </c>
      <c r="S193">
        <v>15393</v>
      </c>
      <c r="T193" t="s">
        <v>670</v>
      </c>
      <c r="U193" t="s">
        <v>70</v>
      </c>
      <c r="V193" s="23">
        <v>44371</v>
      </c>
      <c r="W193" s="23">
        <v>44463</v>
      </c>
      <c r="X193" t="s">
        <v>1277</v>
      </c>
      <c r="Y193" s="23">
        <v>43298</v>
      </c>
      <c r="Z193" s="23">
        <v>44463</v>
      </c>
      <c r="AA193" s="23">
        <v>43363</v>
      </c>
      <c r="AB193" s="21">
        <v>37</v>
      </c>
      <c r="AC193">
        <v>30000</v>
      </c>
      <c r="AD193" t="s">
        <v>71</v>
      </c>
      <c r="AE193" t="s">
        <v>71</v>
      </c>
    </row>
    <row r="194" spans="1:31" x14ac:dyDescent="0.45">
      <c r="A194">
        <v>20004516</v>
      </c>
      <c r="B194" t="s">
        <v>1278</v>
      </c>
      <c r="C194" t="s">
        <v>399</v>
      </c>
      <c r="D194" t="s">
        <v>1279</v>
      </c>
      <c r="E194" t="s">
        <v>1</v>
      </c>
      <c r="F194" t="s">
        <v>74</v>
      </c>
      <c r="G194" t="s">
        <v>706</v>
      </c>
      <c r="H194" t="s">
        <v>1280</v>
      </c>
      <c r="I194" t="s">
        <v>64</v>
      </c>
      <c r="J194" t="s">
        <v>131</v>
      </c>
      <c r="L194" t="s">
        <v>1281</v>
      </c>
      <c r="O194" t="s">
        <v>1282</v>
      </c>
      <c r="P194" t="s">
        <v>1283</v>
      </c>
      <c r="S194">
        <v>15407</v>
      </c>
      <c r="T194" t="s">
        <v>474</v>
      </c>
      <c r="U194" t="s">
        <v>70</v>
      </c>
      <c r="V194" s="23">
        <v>44084</v>
      </c>
      <c r="X194" t="s">
        <v>1284</v>
      </c>
      <c r="Y194" s="23">
        <v>43255</v>
      </c>
      <c r="Z194" s="23">
        <v>44175</v>
      </c>
      <c r="AA194" s="23">
        <v>43745</v>
      </c>
      <c r="AB194" s="21">
        <v>37</v>
      </c>
      <c r="AC194">
        <v>36800</v>
      </c>
      <c r="AD194" t="s">
        <v>71</v>
      </c>
      <c r="AE194" t="s">
        <v>71</v>
      </c>
    </row>
    <row r="195" spans="1:31" x14ac:dyDescent="0.45">
      <c r="A195">
        <v>20004710</v>
      </c>
      <c r="B195" t="s">
        <v>1285</v>
      </c>
      <c r="C195" t="s">
        <v>145</v>
      </c>
      <c r="D195" t="s">
        <v>1286</v>
      </c>
      <c r="E195" t="s">
        <v>1</v>
      </c>
      <c r="F195" t="s">
        <v>604</v>
      </c>
      <c r="G195" t="s">
        <v>1287</v>
      </c>
      <c r="H195" t="s">
        <v>1288</v>
      </c>
      <c r="I195" t="s">
        <v>64</v>
      </c>
      <c r="J195" t="s">
        <v>65</v>
      </c>
      <c r="L195" t="s">
        <v>1289</v>
      </c>
      <c r="M195" t="s">
        <v>1290</v>
      </c>
      <c r="O195" t="s">
        <v>710</v>
      </c>
      <c r="P195" t="s">
        <v>1291</v>
      </c>
      <c r="R195" t="s">
        <v>1292</v>
      </c>
      <c r="S195">
        <v>15393</v>
      </c>
      <c r="T195" t="s">
        <v>670</v>
      </c>
      <c r="U195" t="s">
        <v>70</v>
      </c>
      <c r="V195" s="23">
        <v>44377</v>
      </c>
      <c r="W195" s="23">
        <v>44469</v>
      </c>
      <c r="X195" t="s">
        <v>1293</v>
      </c>
      <c r="Y195" s="23">
        <v>43341</v>
      </c>
      <c r="Z195" s="23">
        <v>44469</v>
      </c>
      <c r="AA195" s="23">
        <v>43354</v>
      </c>
      <c r="AB195" s="21">
        <v>37</v>
      </c>
      <c r="AC195">
        <v>55000</v>
      </c>
      <c r="AD195" t="s">
        <v>71</v>
      </c>
      <c r="AE195" t="s">
        <v>71</v>
      </c>
    </row>
    <row r="196" spans="1:31" x14ac:dyDescent="0.45">
      <c r="A196">
        <v>20004918</v>
      </c>
      <c r="B196" t="s">
        <v>1294</v>
      </c>
      <c r="C196" t="s">
        <v>484</v>
      </c>
      <c r="D196" t="s">
        <v>1295</v>
      </c>
      <c r="E196" t="s">
        <v>1</v>
      </c>
      <c r="F196" t="s">
        <v>74</v>
      </c>
      <c r="G196" t="s">
        <v>75</v>
      </c>
      <c r="H196" t="s">
        <v>1296</v>
      </c>
      <c r="I196" t="s">
        <v>64</v>
      </c>
      <c r="J196" t="s">
        <v>65</v>
      </c>
      <c r="L196" t="s">
        <v>1297</v>
      </c>
      <c r="M196" t="s">
        <v>1298</v>
      </c>
      <c r="O196" t="s">
        <v>80</v>
      </c>
      <c r="P196" t="s">
        <v>1299</v>
      </c>
      <c r="S196">
        <v>15409</v>
      </c>
      <c r="T196" t="s">
        <v>794</v>
      </c>
      <c r="U196" t="s">
        <v>70</v>
      </c>
      <c r="V196" s="23">
        <v>44237</v>
      </c>
      <c r="X196" t="s">
        <v>1300</v>
      </c>
      <c r="Y196" s="23">
        <v>43595</v>
      </c>
      <c r="Z196" s="23">
        <v>44326</v>
      </c>
      <c r="AA196" s="23">
        <v>43607</v>
      </c>
      <c r="AB196" s="21">
        <v>37</v>
      </c>
      <c r="AC196">
        <v>61350</v>
      </c>
      <c r="AD196" t="s">
        <v>71</v>
      </c>
      <c r="AE196" t="s">
        <v>71</v>
      </c>
    </row>
    <row r="197" spans="1:31" x14ac:dyDescent="0.45">
      <c r="A197">
        <v>20004918</v>
      </c>
      <c r="B197" t="s">
        <v>1294</v>
      </c>
      <c r="C197" t="s">
        <v>484</v>
      </c>
      <c r="D197" t="s">
        <v>1295</v>
      </c>
      <c r="E197" t="s">
        <v>1</v>
      </c>
      <c r="F197" t="s">
        <v>74</v>
      </c>
      <c r="G197" t="s">
        <v>75</v>
      </c>
      <c r="H197" t="s">
        <v>1296</v>
      </c>
      <c r="I197" t="s">
        <v>64</v>
      </c>
      <c r="J197" t="s">
        <v>65</v>
      </c>
      <c r="L197" t="s">
        <v>1297</v>
      </c>
      <c r="M197" t="s">
        <v>1298</v>
      </c>
      <c r="O197" t="s">
        <v>80</v>
      </c>
      <c r="P197" t="s">
        <v>1299</v>
      </c>
      <c r="S197">
        <v>15398</v>
      </c>
      <c r="T197" t="s">
        <v>1301</v>
      </c>
      <c r="U197" t="s">
        <v>70</v>
      </c>
      <c r="X197" t="s">
        <v>1302</v>
      </c>
      <c r="Y197" s="23">
        <v>42461</v>
      </c>
      <c r="Z197" s="23">
        <v>43562</v>
      </c>
      <c r="AA197" s="23">
        <v>43370</v>
      </c>
      <c r="AB197" s="21">
        <v>37</v>
      </c>
      <c r="AC197">
        <v>61350</v>
      </c>
      <c r="AD197" t="s">
        <v>71</v>
      </c>
      <c r="AE197" t="s">
        <v>71</v>
      </c>
    </row>
    <row r="198" spans="1:31" x14ac:dyDescent="0.45">
      <c r="A198">
        <v>20004988</v>
      </c>
      <c r="B198" t="s">
        <v>1303</v>
      </c>
      <c r="C198" t="s">
        <v>153</v>
      </c>
      <c r="D198" t="s">
        <v>1304</v>
      </c>
      <c r="E198" t="s">
        <v>0</v>
      </c>
      <c r="F198" t="s">
        <v>415</v>
      </c>
      <c r="G198" t="s">
        <v>416</v>
      </c>
      <c r="H198" t="s">
        <v>1305</v>
      </c>
      <c r="I198" t="s">
        <v>64</v>
      </c>
      <c r="J198" t="s">
        <v>332</v>
      </c>
      <c r="L198" t="s">
        <v>1306</v>
      </c>
      <c r="O198" t="s">
        <v>530</v>
      </c>
      <c r="P198" t="s">
        <v>1307</v>
      </c>
      <c r="R198" t="s">
        <v>1308</v>
      </c>
      <c r="S198">
        <v>15393</v>
      </c>
      <c r="T198" t="s">
        <v>670</v>
      </c>
      <c r="U198" t="s">
        <v>70</v>
      </c>
      <c r="V198" s="23">
        <v>44370</v>
      </c>
      <c r="W198" s="23">
        <v>44462</v>
      </c>
      <c r="X198" t="s">
        <v>1309</v>
      </c>
      <c r="Y198" s="23">
        <v>43339</v>
      </c>
      <c r="Z198" s="23">
        <v>44462</v>
      </c>
      <c r="AA198" s="23">
        <v>43377</v>
      </c>
      <c r="AB198" s="21">
        <v>37</v>
      </c>
      <c r="AC198">
        <v>28050</v>
      </c>
      <c r="AD198" t="s">
        <v>71</v>
      </c>
      <c r="AE198" t="s">
        <v>71</v>
      </c>
    </row>
    <row r="199" spans="1:31" x14ac:dyDescent="0.45">
      <c r="A199">
        <v>20005252</v>
      </c>
      <c r="B199" t="s">
        <v>1310</v>
      </c>
      <c r="C199" t="s">
        <v>211</v>
      </c>
      <c r="D199" t="s">
        <v>1311</v>
      </c>
      <c r="E199" t="s">
        <v>320</v>
      </c>
      <c r="F199" t="s">
        <v>589</v>
      </c>
      <c r="G199" t="s">
        <v>1312</v>
      </c>
      <c r="H199" t="s">
        <v>1313</v>
      </c>
      <c r="I199" t="s">
        <v>64</v>
      </c>
      <c r="J199" t="s">
        <v>320</v>
      </c>
      <c r="L199" t="s">
        <v>1314</v>
      </c>
      <c r="O199" t="s">
        <v>850</v>
      </c>
      <c r="P199" t="s">
        <v>1315</v>
      </c>
      <c r="S199">
        <v>15409</v>
      </c>
      <c r="T199" t="s">
        <v>794</v>
      </c>
      <c r="U199" t="s">
        <v>70</v>
      </c>
      <c r="V199" s="23">
        <v>43630</v>
      </c>
      <c r="X199" t="s">
        <v>1316</v>
      </c>
      <c r="Y199" s="23">
        <v>43182</v>
      </c>
      <c r="Z199" s="23">
        <v>43722</v>
      </c>
      <c r="AA199" s="23">
        <v>43403</v>
      </c>
      <c r="AB199" s="21">
        <v>37</v>
      </c>
      <c r="AC199">
        <v>81133</v>
      </c>
      <c r="AD199" t="s">
        <v>71</v>
      </c>
      <c r="AE199" t="s">
        <v>71</v>
      </c>
    </row>
    <row r="200" spans="1:31" x14ac:dyDescent="0.45">
      <c r="A200">
        <v>20005372</v>
      </c>
      <c r="B200" t="s">
        <v>1317</v>
      </c>
      <c r="C200" t="s">
        <v>484</v>
      </c>
      <c r="D200" t="s">
        <v>1318</v>
      </c>
      <c r="E200" t="s">
        <v>1</v>
      </c>
      <c r="F200" t="s">
        <v>102</v>
      </c>
      <c r="G200" t="s">
        <v>186</v>
      </c>
      <c r="H200" t="s">
        <v>1319</v>
      </c>
      <c r="I200" t="s">
        <v>64</v>
      </c>
      <c r="J200" t="s">
        <v>180</v>
      </c>
      <c r="L200" t="s">
        <v>1320</v>
      </c>
      <c r="M200" t="s">
        <v>1321</v>
      </c>
      <c r="O200" t="s">
        <v>792</v>
      </c>
      <c r="P200" t="s">
        <v>1322</v>
      </c>
      <c r="R200" t="s">
        <v>1323</v>
      </c>
      <c r="S200">
        <v>15393</v>
      </c>
      <c r="T200" t="s">
        <v>670</v>
      </c>
      <c r="U200" t="s">
        <v>70</v>
      </c>
      <c r="V200" s="23">
        <v>44515</v>
      </c>
      <c r="W200" s="23">
        <v>44607</v>
      </c>
      <c r="X200" t="s">
        <v>1324</v>
      </c>
      <c r="Y200" s="23">
        <v>43482</v>
      </c>
      <c r="Z200" s="23">
        <v>44607</v>
      </c>
      <c r="AA200" s="23">
        <v>43416</v>
      </c>
      <c r="AB200" s="21">
        <v>37</v>
      </c>
      <c r="AC200">
        <v>28980</v>
      </c>
      <c r="AD200" t="s">
        <v>71</v>
      </c>
      <c r="AE200" t="s">
        <v>71</v>
      </c>
    </row>
    <row r="201" spans="1:31" x14ac:dyDescent="0.45">
      <c r="A201">
        <v>20005658</v>
      </c>
      <c r="B201" t="s">
        <v>1325</v>
      </c>
      <c r="C201" t="s">
        <v>399</v>
      </c>
      <c r="D201" t="s">
        <v>1326</v>
      </c>
      <c r="E201" t="s">
        <v>1</v>
      </c>
      <c r="F201" t="s">
        <v>604</v>
      </c>
      <c r="G201" t="s">
        <v>1327</v>
      </c>
      <c r="H201" t="s">
        <v>1328</v>
      </c>
      <c r="I201" t="s">
        <v>64</v>
      </c>
      <c r="J201" t="s">
        <v>65</v>
      </c>
      <c r="L201" t="s">
        <v>1329</v>
      </c>
      <c r="M201" t="s">
        <v>1330</v>
      </c>
      <c r="O201" t="s">
        <v>80</v>
      </c>
      <c r="P201" t="s">
        <v>1331</v>
      </c>
      <c r="S201">
        <v>15402</v>
      </c>
      <c r="T201" t="s">
        <v>1332</v>
      </c>
      <c r="U201" t="s">
        <v>70</v>
      </c>
      <c r="V201" s="23">
        <v>43934</v>
      </c>
      <c r="X201" t="s">
        <v>1333</v>
      </c>
      <c r="Y201" s="23">
        <v>43280</v>
      </c>
      <c r="Z201" s="23">
        <v>44025</v>
      </c>
      <c r="AA201" s="23">
        <v>43444</v>
      </c>
      <c r="AB201" s="21">
        <v>37</v>
      </c>
      <c r="AC201">
        <v>45923</v>
      </c>
      <c r="AD201" t="s">
        <v>71</v>
      </c>
      <c r="AE201" t="s">
        <v>71</v>
      </c>
    </row>
    <row r="202" spans="1:31" x14ac:dyDescent="0.45">
      <c r="A202">
        <v>20005662</v>
      </c>
      <c r="B202" t="s">
        <v>1334</v>
      </c>
      <c r="C202" t="s">
        <v>211</v>
      </c>
      <c r="D202" t="s">
        <v>1335</v>
      </c>
      <c r="E202" t="s">
        <v>0</v>
      </c>
      <c r="F202" t="s">
        <v>456</v>
      </c>
      <c r="G202" t="s">
        <v>457</v>
      </c>
      <c r="H202" t="s">
        <v>1336</v>
      </c>
      <c r="I202" t="s">
        <v>64</v>
      </c>
      <c r="J202" t="s">
        <v>332</v>
      </c>
      <c r="L202" t="s">
        <v>1337</v>
      </c>
      <c r="M202" t="s">
        <v>1338</v>
      </c>
      <c r="O202" t="s">
        <v>1339</v>
      </c>
      <c r="P202" t="s">
        <v>1340</v>
      </c>
      <c r="S202">
        <v>15407</v>
      </c>
      <c r="T202" t="s">
        <v>474</v>
      </c>
      <c r="U202" t="s">
        <v>70</v>
      </c>
      <c r="V202" s="23">
        <v>44568</v>
      </c>
      <c r="X202" t="s">
        <v>1341</v>
      </c>
      <c r="Y202" s="23">
        <v>43718</v>
      </c>
      <c r="Z202" s="23">
        <v>44658</v>
      </c>
      <c r="AA202" s="23">
        <v>43747</v>
      </c>
      <c r="AB202" s="21">
        <v>37</v>
      </c>
      <c r="AC202">
        <v>64553</v>
      </c>
      <c r="AD202" t="s">
        <v>71</v>
      </c>
      <c r="AE202" t="s">
        <v>71</v>
      </c>
    </row>
    <row r="203" spans="1:31" x14ac:dyDescent="0.45">
      <c r="A203">
        <v>20005662</v>
      </c>
      <c r="B203" t="s">
        <v>1334</v>
      </c>
      <c r="C203" t="s">
        <v>211</v>
      </c>
      <c r="D203" t="s">
        <v>1335</v>
      </c>
      <c r="E203" t="s">
        <v>0</v>
      </c>
      <c r="F203" t="s">
        <v>456</v>
      </c>
      <c r="G203" t="s">
        <v>457</v>
      </c>
      <c r="H203" t="s">
        <v>1336</v>
      </c>
      <c r="I203" t="s">
        <v>64</v>
      </c>
      <c r="J203" t="s">
        <v>332</v>
      </c>
      <c r="L203" t="s">
        <v>1337</v>
      </c>
      <c r="M203" t="s">
        <v>1338</v>
      </c>
      <c r="O203" t="s">
        <v>1339</v>
      </c>
      <c r="P203" t="s">
        <v>1340</v>
      </c>
      <c r="R203" t="s">
        <v>1342</v>
      </c>
      <c r="S203">
        <v>15393</v>
      </c>
      <c r="T203" t="s">
        <v>670</v>
      </c>
      <c r="U203" t="s">
        <v>70</v>
      </c>
      <c r="V203" s="23">
        <v>43747</v>
      </c>
      <c r="W203" s="23">
        <v>43747</v>
      </c>
      <c r="X203" t="s">
        <v>1343</v>
      </c>
      <c r="Y203" s="23">
        <v>43426</v>
      </c>
      <c r="Z203" s="23">
        <v>43747</v>
      </c>
      <c r="AA203" s="23">
        <v>43445</v>
      </c>
      <c r="AB203" s="21">
        <v>37</v>
      </c>
      <c r="AC203">
        <v>64553</v>
      </c>
      <c r="AD203" t="s">
        <v>71</v>
      </c>
      <c r="AE203" t="s">
        <v>71</v>
      </c>
    </row>
    <row r="204" spans="1:31" x14ac:dyDescent="0.45">
      <c r="A204">
        <v>20006455</v>
      </c>
      <c r="B204" t="s">
        <v>1344</v>
      </c>
      <c r="C204" t="s">
        <v>211</v>
      </c>
      <c r="D204" t="s">
        <v>1345</v>
      </c>
      <c r="E204" t="s">
        <v>433</v>
      </c>
      <c r="F204" t="s">
        <v>735</v>
      </c>
      <c r="G204" t="s">
        <v>1346</v>
      </c>
      <c r="H204" t="s">
        <v>1347</v>
      </c>
      <c r="I204" t="s">
        <v>64</v>
      </c>
      <c r="J204" t="s">
        <v>1348</v>
      </c>
      <c r="L204" t="s">
        <v>1349</v>
      </c>
      <c r="M204" t="s">
        <v>1350</v>
      </c>
      <c r="O204" t="s">
        <v>1351</v>
      </c>
      <c r="P204" t="s">
        <v>1352</v>
      </c>
      <c r="S204">
        <v>15386</v>
      </c>
      <c r="T204" t="s">
        <v>98</v>
      </c>
      <c r="U204" t="s">
        <v>70</v>
      </c>
      <c r="X204" t="s">
        <v>1353</v>
      </c>
      <c r="Y204" s="23">
        <v>40562</v>
      </c>
      <c r="Z204" s="23">
        <v>2958465</v>
      </c>
      <c r="AA204" s="23">
        <v>43728</v>
      </c>
      <c r="AB204" s="21">
        <v>37</v>
      </c>
      <c r="AC204">
        <v>38000</v>
      </c>
      <c r="AD204" t="s">
        <v>71</v>
      </c>
      <c r="AE204" t="s">
        <v>71</v>
      </c>
    </row>
    <row r="205" spans="1:31" x14ac:dyDescent="0.45">
      <c r="A205">
        <v>20006484</v>
      </c>
      <c r="B205" t="s">
        <v>1354</v>
      </c>
      <c r="C205" t="s">
        <v>399</v>
      </c>
      <c r="D205" t="s">
        <v>1355</v>
      </c>
      <c r="E205" t="s">
        <v>0</v>
      </c>
      <c r="F205" t="s">
        <v>415</v>
      </c>
      <c r="G205" t="s">
        <v>534</v>
      </c>
      <c r="H205" t="s">
        <v>1356</v>
      </c>
      <c r="I205" t="s">
        <v>1357</v>
      </c>
      <c r="J205" t="s">
        <v>536</v>
      </c>
      <c r="L205" t="s">
        <v>1358</v>
      </c>
      <c r="O205" t="s">
        <v>1359</v>
      </c>
      <c r="P205" t="s">
        <v>1360</v>
      </c>
      <c r="S205">
        <v>15411</v>
      </c>
      <c r="T205" t="s">
        <v>739</v>
      </c>
      <c r="U205" t="s">
        <v>70</v>
      </c>
      <c r="V205" s="23">
        <v>45098</v>
      </c>
      <c r="X205" t="s">
        <v>1361</v>
      </c>
      <c r="Y205" s="23">
        <v>43364</v>
      </c>
      <c r="Z205" s="23">
        <v>45190</v>
      </c>
      <c r="AA205" s="23">
        <v>43728</v>
      </c>
      <c r="AB205" s="21">
        <v>37</v>
      </c>
      <c r="AC205">
        <v>30962</v>
      </c>
      <c r="AD205" t="s">
        <v>71</v>
      </c>
      <c r="AE205" t="s">
        <v>71</v>
      </c>
    </row>
    <row r="206" spans="1:31" x14ac:dyDescent="0.45">
      <c r="A206">
        <v>20006688</v>
      </c>
      <c r="B206" t="s">
        <v>1362</v>
      </c>
      <c r="C206" t="s">
        <v>1363</v>
      </c>
      <c r="D206" t="s">
        <v>1364</v>
      </c>
      <c r="E206" t="s">
        <v>467</v>
      </c>
      <c r="F206" t="s">
        <v>468</v>
      </c>
      <c r="G206" t="s">
        <v>1365</v>
      </c>
      <c r="H206" t="s">
        <v>1366</v>
      </c>
      <c r="I206" t="s">
        <v>64</v>
      </c>
      <c r="J206" t="s">
        <v>65</v>
      </c>
      <c r="L206">
        <v>45</v>
      </c>
      <c r="M206" t="s">
        <v>1367</v>
      </c>
      <c r="O206" t="s">
        <v>80</v>
      </c>
      <c r="P206" t="s">
        <v>1368</v>
      </c>
      <c r="S206">
        <v>15386</v>
      </c>
      <c r="T206" t="s">
        <v>98</v>
      </c>
      <c r="U206" t="s">
        <v>70</v>
      </c>
      <c r="V206" s="23">
        <v>45565</v>
      </c>
      <c r="X206" t="s">
        <v>1369</v>
      </c>
      <c r="Y206" s="23">
        <v>43704</v>
      </c>
      <c r="Z206" s="23">
        <v>45657</v>
      </c>
      <c r="AA206" s="23">
        <v>43719</v>
      </c>
      <c r="AB206" s="21">
        <v>37</v>
      </c>
      <c r="AC206">
        <v>65000</v>
      </c>
      <c r="AD206" t="s">
        <v>71</v>
      </c>
      <c r="AE206" t="s">
        <v>71</v>
      </c>
    </row>
    <row r="207" spans="1:31" x14ac:dyDescent="0.45">
      <c r="A207">
        <v>20006688</v>
      </c>
      <c r="B207" t="s">
        <v>1362</v>
      </c>
      <c r="C207" t="s">
        <v>1363</v>
      </c>
      <c r="D207" t="s">
        <v>1364</v>
      </c>
      <c r="E207" t="s">
        <v>467</v>
      </c>
      <c r="F207" t="s">
        <v>468</v>
      </c>
      <c r="G207" t="s">
        <v>1365</v>
      </c>
      <c r="H207" t="s">
        <v>1366</v>
      </c>
      <c r="I207" t="s">
        <v>64</v>
      </c>
      <c r="J207" t="s">
        <v>65</v>
      </c>
      <c r="L207">
        <v>45</v>
      </c>
      <c r="M207" t="s">
        <v>1367</v>
      </c>
      <c r="O207" t="s">
        <v>80</v>
      </c>
      <c r="P207" t="s">
        <v>1368</v>
      </c>
      <c r="S207">
        <v>15407</v>
      </c>
      <c r="T207" t="s">
        <v>474</v>
      </c>
      <c r="U207" t="s">
        <v>70</v>
      </c>
      <c r="V207" s="23">
        <v>43665</v>
      </c>
      <c r="X207" t="s">
        <v>1370</v>
      </c>
      <c r="Y207" s="23">
        <v>42775</v>
      </c>
      <c r="Z207" s="23">
        <v>43714</v>
      </c>
      <c r="AA207" s="23">
        <v>43665</v>
      </c>
      <c r="AB207" s="21">
        <v>37</v>
      </c>
      <c r="AC207">
        <v>65000</v>
      </c>
      <c r="AD207" t="s">
        <v>71</v>
      </c>
      <c r="AE207" t="s">
        <v>71</v>
      </c>
    </row>
    <row r="208" spans="1:31" x14ac:dyDescent="0.45">
      <c r="A208">
        <v>20007308</v>
      </c>
      <c r="B208" t="s">
        <v>1371</v>
      </c>
      <c r="C208" t="s">
        <v>176</v>
      </c>
      <c r="D208" t="s">
        <v>886</v>
      </c>
      <c r="E208" t="s">
        <v>433</v>
      </c>
      <c r="F208" t="s">
        <v>735</v>
      </c>
      <c r="G208" t="s">
        <v>356</v>
      </c>
      <c r="H208" t="s">
        <v>1372</v>
      </c>
      <c r="I208" t="s">
        <v>64</v>
      </c>
      <c r="J208" t="s">
        <v>888</v>
      </c>
      <c r="L208" t="s">
        <v>1373</v>
      </c>
      <c r="O208" t="s">
        <v>539</v>
      </c>
      <c r="P208" t="s">
        <v>1374</v>
      </c>
      <c r="R208" t="s">
        <v>1375</v>
      </c>
      <c r="S208">
        <v>15393</v>
      </c>
      <c r="T208" t="s">
        <v>670</v>
      </c>
      <c r="U208" t="s">
        <v>70</v>
      </c>
      <c r="V208" s="23">
        <v>44293</v>
      </c>
      <c r="W208" s="23">
        <v>44385</v>
      </c>
      <c r="X208" t="s">
        <v>1376</v>
      </c>
      <c r="Y208" s="23">
        <v>43623</v>
      </c>
      <c r="Z208" s="23">
        <v>44385</v>
      </c>
      <c r="AA208" s="23">
        <v>43637</v>
      </c>
      <c r="AB208" s="21">
        <v>37</v>
      </c>
      <c r="AC208">
        <v>44000</v>
      </c>
      <c r="AD208" t="s">
        <v>71</v>
      </c>
      <c r="AE208" t="s">
        <v>71</v>
      </c>
    </row>
    <row r="209" spans="1:31" x14ac:dyDescent="0.45">
      <c r="A209">
        <v>20007308</v>
      </c>
      <c r="B209" t="s">
        <v>1371</v>
      </c>
      <c r="C209" t="s">
        <v>176</v>
      </c>
      <c r="D209" t="s">
        <v>886</v>
      </c>
      <c r="E209" t="s">
        <v>433</v>
      </c>
      <c r="F209" t="s">
        <v>735</v>
      </c>
      <c r="G209" t="s">
        <v>356</v>
      </c>
      <c r="H209" t="s">
        <v>1372</v>
      </c>
      <c r="I209" t="s">
        <v>64</v>
      </c>
      <c r="J209" t="s">
        <v>888</v>
      </c>
      <c r="L209" t="s">
        <v>1373</v>
      </c>
      <c r="O209" t="s">
        <v>539</v>
      </c>
      <c r="P209" t="s">
        <v>1374</v>
      </c>
      <c r="R209" t="s">
        <v>1377</v>
      </c>
      <c r="S209">
        <v>15393</v>
      </c>
      <c r="T209" t="s">
        <v>670</v>
      </c>
      <c r="U209" t="s">
        <v>70</v>
      </c>
      <c r="V209" s="23">
        <v>43563</v>
      </c>
      <c r="W209" s="23">
        <v>43654</v>
      </c>
      <c r="X209">
        <v>11562916</v>
      </c>
      <c r="Y209" s="23">
        <v>43563</v>
      </c>
      <c r="Z209" s="23">
        <v>43654</v>
      </c>
      <c r="AA209" s="23">
        <v>43598</v>
      </c>
      <c r="AB209" s="21">
        <v>37</v>
      </c>
      <c r="AC209">
        <v>44000</v>
      </c>
      <c r="AD209" t="s">
        <v>71</v>
      </c>
      <c r="AE209" t="s">
        <v>71</v>
      </c>
    </row>
    <row r="210" spans="1:31" x14ac:dyDescent="0.45">
      <c r="A210">
        <v>20007384</v>
      </c>
      <c r="B210" t="s">
        <v>1378</v>
      </c>
      <c r="C210" t="s">
        <v>192</v>
      </c>
      <c r="D210" t="s">
        <v>562</v>
      </c>
      <c r="E210" t="s">
        <v>320</v>
      </c>
      <c r="F210" t="s">
        <v>329</v>
      </c>
      <c r="G210" t="s">
        <v>330</v>
      </c>
      <c r="H210" t="s">
        <v>1142</v>
      </c>
      <c r="I210" t="s">
        <v>64</v>
      </c>
      <c r="J210" t="s">
        <v>459</v>
      </c>
      <c r="L210" t="s">
        <v>1379</v>
      </c>
      <c r="M210" t="s">
        <v>1380</v>
      </c>
      <c r="O210" t="s">
        <v>850</v>
      </c>
      <c r="P210" t="s">
        <v>1381</v>
      </c>
      <c r="S210">
        <v>15386</v>
      </c>
      <c r="T210" t="s">
        <v>98</v>
      </c>
      <c r="U210" t="s">
        <v>70</v>
      </c>
      <c r="V210" s="23">
        <v>45565</v>
      </c>
      <c r="X210" t="s">
        <v>1382</v>
      </c>
      <c r="Y210" s="23">
        <v>43005</v>
      </c>
      <c r="Z210" s="23">
        <v>45657</v>
      </c>
      <c r="AA210" s="23">
        <v>43728</v>
      </c>
      <c r="AB210" s="21">
        <v>37</v>
      </c>
      <c r="AC210">
        <v>45000</v>
      </c>
      <c r="AD210" t="s">
        <v>71</v>
      </c>
      <c r="AE210" t="s">
        <v>71</v>
      </c>
    </row>
    <row r="211" spans="1:31" x14ac:dyDescent="0.45">
      <c r="A211">
        <v>20007803</v>
      </c>
      <c r="B211" t="s">
        <v>1383</v>
      </c>
      <c r="C211" t="s">
        <v>192</v>
      </c>
      <c r="D211" t="s">
        <v>1384</v>
      </c>
      <c r="E211" t="s">
        <v>294</v>
      </c>
      <c r="F211" t="s">
        <v>1385</v>
      </c>
      <c r="G211" t="s">
        <v>1386</v>
      </c>
      <c r="H211" t="s">
        <v>1387</v>
      </c>
      <c r="I211" t="s">
        <v>64</v>
      </c>
      <c r="J211" t="s">
        <v>114</v>
      </c>
      <c r="L211" t="s">
        <v>1388</v>
      </c>
      <c r="O211" t="s">
        <v>80</v>
      </c>
      <c r="P211" t="s">
        <v>1389</v>
      </c>
      <c r="S211">
        <v>15386</v>
      </c>
      <c r="T211" t="s">
        <v>98</v>
      </c>
      <c r="U211" t="s">
        <v>70</v>
      </c>
      <c r="V211" s="23">
        <v>45565</v>
      </c>
      <c r="X211" t="s">
        <v>1390</v>
      </c>
      <c r="Y211" s="23">
        <v>43482</v>
      </c>
      <c r="Z211" s="23">
        <v>45657</v>
      </c>
      <c r="AA211" s="23">
        <v>43728</v>
      </c>
      <c r="AB211" s="21">
        <v>37</v>
      </c>
      <c r="AC211">
        <v>46000</v>
      </c>
      <c r="AD211" t="s">
        <v>71</v>
      </c>
      <c r="AE211" t="s">
        <v>71</v>
      </c>
    </row>
    <row r="212" spans="1:31" x14ac:dyDescent="0.45">
      <c r="A212">
        <v>20007908</v>
      </c>
      <c r="B212" t="s">
        <v>1391</v>
      </c>
      <c r="C212" t="s">
        <v>507</v>
      </c>
      <c r="D212" t="s">
        <v>1392</v>
      </c>
      <c r="E212" t="s">
        <v>320</v>
      </c>
      <c r="F212" t="s">
        <v>844</v>
      </c>
      <c r="G212" t="s">
        <v>1393</v>
      </c>
      <c r="H212" t="s">
        <v>1394</v>
      </c>
      <c r="I212" t="s">
        <v>64</v>
      </c>
      <c r="J212" t="s">
        <v>320</v>
      </c>
      <c r="L212" t="s">
        <v>1395</v>
      </c>
      <c r="M212" t="s">
        <v>1065</v>
      </c>
      <c r="O212" t="s">
        <v>530</v>
      </c>
      <c r="P212" t="s">
        <v>1396</v>
      </c>
      <c r="S212">
        <v>15409</v>
      </c>
      <c r="T212" t="s">
        <v>794</v>
      </c>
      <c r="U212" t="s">
        <v>70</v>
      </c>
      <c r="V212" s="23">
        <v>44225</v>
      </c>
      <c r="X212" t="s">
        <v>1397</v>
      </c>
      <c r="Y212" s="23">
        <v>39557</v>
      </c>
      <c r="Z212" s="23">
        <v>44315</v>
      </c>
      <c r="AA212" s="23">
        <v>43728</v>
      </c>
      <c r="AB212" s="21">
        <v>37</v>
      </c>
      <c r="AC212">
        <v>45000</v>
      </c>
      <c r="AD212" t="s">
        <v>71</v>
      </c>
      <c r="AE212" t="s">
        <v>71</v>
      </c>
    </row>
    <row r="213" spans="1:31" x14ac:dyDescent="0.45">
      <c r="A213">
        <v>20008271</v>
      </c>
      <c r="B213" t="s">
        <v>1398</v>
      </c>
      <c r="C213" t="s">
        <v>554</v>
      </c>
      <c r="D213" t="s">
        <v>1399</v>
      </c>
      <c r="E213" t="s">
        <v>294</v>
      </c>
      <c r="F213" t="s">
        <v>295</v>
      </c>
      <c r="G213" t="s">
        <v>1400</v>
      </c>
      <c r="H213" t="s">
        <v>1401</v>
      </c>
      <c r="I213" t="s">
        <v>64</v>
      </c>
      <c r="J213" t="s">
        <v>65</v>
      </c>
      <c r="L213" t="s">
        <v>1402</v>
      </c>
      <c r="O213" t="s">
        <v>80</v>
      </c>
      <c r="P213" t="s">
        <v>1403</v>
      </c>
      <c r="S213">
        <v>15399</v>
      </c>
      <c r="T213" t="s">
        <v>1404</v>
      </c>
      <c r="U213" t="s">
        <v>70</v>
      </c>
      <c r="V213" s="23">
        <v>44411</v>
      </c>
      <c r="X213" t="s">
        <v>1405</v>
      </c>
      <c r="Y213" s="23">
        <v>43346</v>
      </c>
      <c r="Z213" s="23">
        <v>44503</v>
      </c>
      <c r="AA213" s="23">
        <v>43734</v>
      </c>
      <c r="AB213" s="21">
        <v>37</v>
      </c>
      <c r="AC213">
        <v>17500</v>
      </c>
      <c r="AD213" t="s">
        <v>71</v>
      </c>
      <c r="AE213" t="s">
        <v>71</v>
      </c>
    </row>
    <row r="214" spans="1:31" x14ac:dyDescent="0.45">
      <c r="A214">
        <v>20008292</v>
      </c>
      <c r="B214" t="s">
        <v>1406</v>
      </c>
      <c r="C214" t="s">
        <v>192</v>
      </c>
      <c r="D214" t="s">
        <v>1407</v>
      </c>
      <c r="E214" t="s">
        <v>294</v>
      </c>
      <c r="F214" t="s">
        <v>295</v>
      </c>
      <c r="G214" t="s">
        <v>1408</v>
      </c>
      <c r="H214" t="s">
        <v>1409</v>
      </c>
      <c r="I214" t="s">
        <v>64</v>
      </c>
      <c r="J214" t="s">
        <v>65</v>
      </c>
      <c r="L214" t="s">
        <v>1410</v>
      </c>
      <c r="O214" t="s">
        <v>710</v>
      </c>
      <c r="P214" t="s">
        <v>1411</v>
      </c>
      <c r="S214">
        <v>15399</v>
      </c>
      <c r="T214" t="s">
        <v>1404</v>
      </c>
      <c r="U214" t="s">
        <v>70</v>
      </c>
      <c r="V214" s="23">
        <v>44409</v>
      </c>
      <c r="X214" t="s">
        <v>1412</v>
      </c>
      <c r="Y214" s="23">
        <v>43337</v>
      </c>
      <c r="Z214" s="23">
        <v>44499</v>
      </c>
      <c r="AA214" s="23">
        <v>43734</v>
      </c>
      <c r="AB214" s="21">
        <v>37</v>
      </c>
      <c r="AC214">
        <v>16500</v>
      </c>
      <c r="AD214" t="s">
        <v>71</v>
      </c>
      <c r="AE214" t="s">
        <v>71</v>
      </c>
    </row>
    <row r="215" spans="1:31" x14ac:dyDescent="0.45">
      <c r="A215">
        <v>20008439</v>
      </c>
      <c r="B215" t="s">
        <v>1413</v>
      </c>
      <c r="C215" t="s">
        <v>399</v>
      </c>
      <c r="D215" t="s">
        <v>1414</v>
      </c>
      <c r="E215" t="s">
        <v>294</v>
      </c>
      <c r="F215" t="s">
        <v>833</v>
      </c>
      <c r="G215" t="s">
        <v>1415</v>
      </c>
      <c r="H215" t="s">
        <v>1416</v>
      </c>
      <c r="I215" t="s">
        <v>64</v>
      </c>
      <c r="J215" t="s">
        <v>65</v>
      </c>
      <c r="L215">
        <v>8</v>
      </c>
      <c r="M215" t="s">
        <v>1417</v>
      </c>
      <c r="O215" t="s">
        <v>80</v>
      </c>
      <c r="P215" t="s">
        <v>1418</v>
      </c>
      <c r="S215">
        <v>15406</v>
      </c>
      <c r="T215" t="s">
        <v>1419</v>
      </c>
      <c r="U215" t="s">
        <v>70</v>
      </c>
      <c r="V215" s="23">
        <v>45677</v>
      </c>
      <c r="Y215" s="23">
        <v>42115</v>
      </c>
      <c r="Z215" s="23">
        <v>45767</v>
      </c>
      <c r="AA215" s="23">
        <v>43728</v>
      </c>
      <c r="AB215" s="21">
        <v>37</v>
      </c>
      <c r="AC215">
        <v>40000</v>
      </c>
      <c r="AD215" t="s">
        <v>71</v>
      </c>
      <c r="AE215" t="s">
        <v>71</v>
      </c>
    </row>
    <row r="216" spans="1:31" x14ac:dyDescent="0.45">
      <c r="A216">
        <v>20008668</v>
      </c>
      <c r="B216" t="s">
        <v>1420</v>
      </c>
      <c r="C216" t="s">
        <v>1421</v>
      </c>
      <c r="D216" t="s">
        <v>1422</v>
      </c>
      <c r="E216" t="s">
        <v>320</v>
      </c>
      <c r="F216" t="s">
        <v>363</v>
      </c>
      <c r="G216" t="s">
        <v>364</v>
      </c>
      <c r="H216" t="s">
        <v>1423</v>
      </c>
      <c r="I216" t="s">
        <v>64</v>
      </c>
      <c r="J216" t="s">
        <v>359</v>
      </c>
      <c r="L216" t="s">
        <v>1424</v>
      </c>
      <c r="M216" t="s">
        <v>1425</v>
      </c>
      <c r="O216" t="s">
        <v>850</v>
      </c>
      <c r="P216" t="s">
        <v>1426</v>
      </c>
      <c r="S216">
        <v>15399</v>
      </c>
      <c r="T216" t="s">
        <v>1404</v>
      </c>
      <c r="U216" t="s">
        <v>70</v>
      </c>
      <c r="V216" s="23">
        <v>44411</v>
      </c>
      <c r="X216" t="s">
        <v>1427</v>
      </c>
      <c r="Y216" s="23">
        <v>42677</v>
      </c>
      <c r="Z216" s="23">
        <v>44503</v>
      </c>
      <c r="AA216" s="23">
        <v>43734</v>
      </c>
      <c r="AB216" s="21">
        <v>37</v>
      </c>
      <c r="AC216">
        <v>16500</v>
      </c>
      <c r="AD216" t="s">
        <v>71</v>
      </c>
      <c r="AE216" t="s">
        <v>71</v>
      </c>
    </row>
    <row r="217" spans="1:31" x14ac:dyDescent="0.45">
      <c r="A217">
        <v>20008707</v>
      </c>
      <c r="B217" t="s">
        <v>1428</v>
      </c>
      <c r="C217" t="s">
        <v>211</v>
      </c>
      <c r="D217" t="s">
        <v>1429</v>
      </c>
      <c r="E217" t="s">
        <v>320</v>
      </c>
      <c r="F217" t="s">
        <v>363</v>
      </c>
      <c r="G217" t="s">
        <v>879</v>
      </c>
      <c r="H217" t="s">
        <v>1430</v>
      </c>
      <c r="I217" t="s">
        <v>64</v>
      </c>
      <c r="J217" t="s">
        <v>359</v>
      </c>
      <c r="L217" t="s">
        <v>847</v>
      </c>
      <c r="M217" t="s">
        <v>1431</v>
      </c>
      <c r="O217" t="s">
        <v>850</v>
      </c>
      <c r="P217" t="s">
        <v>1432</v>
      </c>
      <c r="S217">
        <v>15386</v>
      </c>
      <c r="T217" t="s">
        <v>98</v>
      </c>
      <c r="U217" t="s">
        <v>70</v>
      </c>
      <c r="V217" s="23">
        <v>45565</v>
      </c>
      <c r="X217" t="s">
        <v>1433</v>
      </c>
      <c r="Y217" s="23">
        <v>43482</v>
      </c>
      <c r="Z217" s="23">
        <v>45657</v>
      </c>
      <c r="AA217" s="23">
        <v>43728</v>
      </c>
      <c r="AB217" s="21">
        <v>37</v>
      </c>
      <c r="AC217">
        <v>53000</v>
      </c>
      <c r="AD217" t="s">
        <v>71</v>
      </c>
      <c r="AE217" t="s">
        <v>71</v>
      </c>
    </row>
    <row r="218" spans="1:31" x14ac:dyDescent="0.45">
      <c r="A218">
        <v>20008928</v>
      </c>
      <c r="B218" t="s">
        <v>1434</v>
      </c>
      <c r="C218" t="s">
        <v>153</v>
      </c>
      <c r="D218" t="s">
        <v>1435</v>
      </c>
      <c r="E218" t="s">
        <v>0</v>
      </c>
      <c r="F218" t="s">
        <v>415</v>
      </c>
      <c r="G218" t="s">
        <v>499</v>
      </c>
      <c r="H218" t="s">
        <v>1436</v>
      </c>
      <c r="I218" t="s">
        <v>64</v>
      </c>
      <c r="J218" t="s">
        <v>359</v>
      </c>
      <c r="L218" t="s">
        <v>1437</v>
      </c>
      <c r="M218" t="s">
        <v>202</v>
      </c>
      <c r="O218" t="s">
        <v>202</v>
      </c>
      <c r="P218" t="s">
        <v>1438</v>
      </c>
      <c r="R218" t="s">
        <v>1439</v>
      </c>
      <c r="S218">
        <v>15393</v>
      </c>
      <c r="T218" t="s">
        <v>670</v>
      </c>
      <c r="U218" t="s">
        <v>70</v>
      </c>
      <c r="V218" s="23">
        <v>44734</v>
      </c>
      <c r="W218" s="23">
        <v>44826</v>
      </c>
      <c r="X218" t="s">
        <v>1440</v>
      </c>
      <c r="Y218" s="23">
        <v>43788</v>
      </c>
      <c r="Z218" s="23">
        <v>44826</v>
      </c>
      <c r="AA218" s="23">
        <v>43790</v>
      </c>
      <c r="AB218" s="21">
        <v>37</v>
      </c>
      <c r="AC218">
        <v>27600</v>
      </c>
      <c r="AD218" t="s">
        <v>71</v>
      </c>
      <c r="AE218" t="s">
        <v>71</v>
      </c>
    </row>
    <row r="219" spans="1:31" x14ac:dyDescent="0.45">
      <c r="A219">
        <v>20008928</v>
      </c>
      <c r="B219" t="s">
        <v>1434</v>
      </c>
      <c r="C219" t="s">
        <v>153</v>
      </c>
      <c r="D219" t="s">
        <v>1435</v>
      </c>
      <c r="E219" t="s">
        <v>0</v>
      </c>
      <c r="F219" t="s">
        <v>415</v>
      </c>
      <c r="G219" t="s">
        <v>499</v>
      </c>
      <c r="H219" t="s">
        <v>1436</v>
      </c>
      <c r="I219" t="s">
        <v>64</v>
      </c>
      <c r="J219" t="s">
        <v>359</v>
      </c>
      <c r="L219" t="s">
        <v>1437</v>
      </c>
      <c r="M219" t="s">
        <v>202</v>
      </c>
      <c r="O219" t="s">
        <v>202</v>
      </c>
      <c r="P219" t="s">
        <v>1438</v>
      </c>
      <c r="S219">
        <v>15399</v>
      </c>
      <c r="T219" t="s">
        <v>1404</v>
      </c>
      <c r="U219" t="s">
        <v>70</v>
      </c>
      <c r="V219" s="23">
        <v>43720</v>
      </c>
      <c r="X219" t="s">
        <v>1441</v>
      </c>
      <c r="Y219" s="23">
        <v>43333</v>
      </c>
      <c r="Z219" s="23">
        <v>43787</v>
      </c>
      <c r="AA219" s="23">
        <v>43720</v>
      </c>
      <c r="AB219" s="21">
        <v>37</v>
      </c>
      <c r="AC219">
        <v>27600</v>
      </c>
      <c r="AD219" t="s">
        <v>71</v>
      </c>
      <c r="AE219" t="s">
        <v>71</v>
      </c>
    </row>
    <row r="220" spans="1:31" x14ac:dyDescent="0.45">
      <c r="A220">
        <v>20009048</v>
      </c>
      <c r="B220" t="s">
        <v>1442</v>
      </c>
      <c r="C220" t="s">
        <v>1152</v>
      </c>
      <c r="D220" t="s">
        <v>1443</v>
      </c>
      <c r="E220" t="s">
        <v>1</v>
      </c>
      <c r="F220" t="s">
        <v>620</v>
      </c>
      <c r="G220" t="s">
        <v>621</v>
      </c>
      <c r="H220" t="s">
        <v>1444</v>
      </c>
      <c r="I220" t="s">
        <v>64</v>
      </c>
      <c r="J220" t="s">
        <v>65</v>
      </c>
      <c r="L220" t="s">
        <v>1445</v>
      </c>
      <c r="M220" t="s">
        <v>1446</v>
      </c>
      <c r="O220" t="s">
        <v>80</v>
      </c>
      <c r="P220" t="s">
        <v>1447</v>
      </c>
      <c r="R220" t="s">
        <v>1448</v>
      </c>
      <c r="S220">
        <v>15393</v>
      </c>
      <c r="T220" t="s">
        <v>670</v>
      </c>
      <c r="U220" t="s">
        <v>70</v>
      </c>
      <c r="V220" s="23">
        <v>44734</v>
      </c>
      <c r="W220" s="23">
        <v>44826</v>
      </c>
      <c r="X220" t="s">
        <v>1449</v>
      </c>
      <c r="Y220" s="23">
        <v>43719</v>
      </c>
      <c r="Z220" s="23">
        <v>44826</v>
      </c>
      <c r="AA220" s="23">
        <v>43727</v>
      </c>
      <c r="AB220" s="21">
        <v>37</v>
      </c>
      <c r="AC220">
        <v>29300</v>
      </c>
      <c r="AD220" t="s">
        <v>71</v>
      </c>
      <c r="AE220" t="s">
        <v>71</v>
      </c>
    </row>
    <row r="221" spans="1:31" x14ac:dyDescent="0.45">
      <c r="A221">
        <v>20009048</v>
      </c>
      <c r="B221" t="s">
        <v>1442</v>
      </c>
      <c r="C221" t="s">
        <v>1152</v>
      </c>
      <c r="D221" t="s">
        <v>1443</v>
      </c>
      <c r="E221" t="s">
        <v>1</v>
      </c>
      <c r="F221" t="s">
        <v>620</v>
      </c>
      <c r="G221" t="s">
        <v>621</v>
      </c>
      <c r="H221" t="s">
        <v>1444</v>
      </c>
      <c r="I221" t="s">
        <v>64</v>
      </c>
      <c r="J221" t="s">
        <v>65</v>
      </c>
      <c r="L221" t="s">
        <v>1445</v>
      </c>
      <c r="M221" t="s">
        <v>1446</v>
      </c>
      <c r="O221" t="s">
        <v>80</v>
      </c>
      <c r="P221" t="s">
        <v>1447</v>
      </c>
      <c r="S221">
        <v>15399</v>
      </c>
      <c r="T221" t="s">
        <v>1404</v>
      </c>
      <c r="U221" t="s">
        <v>70</v>
      </c>
      <c r="V221" s="23">
        <v>43696</v>
      </c>
      <c r="X221" t="s">
        <v>1450</v>
      </c>
      <c r="Y221" s="23">
        <v>43333</v>
      </c>
      <c r="Z221" s="23">
        <v>43719</v>
      </c>
      <c r="AA221" s="23">
        <v>43718</v>
      </c>
      <c r="AB221" s="21">
        <v>37</v>
      </c>
      <c r="AC221">
        <v>29300</v>
      </c>
      <c r="AD221" t="s">
        <v>71</v>
      </c>
      <c r="AE221" t="s">
        <v>71</v>
      </c>
    </row>
    <row r="222" spans="1:31" x14ac:dyDescent="0.45">
      <c r="A222">
        <v>20009051</v>
      </c>
      <c r="B222" t="s">
        <v>1451</v>
      </c>
      <c r="C222" t="s">
        <v>554</v>
      </c>
      <c r="D222" t="s">
        <v>1452</v>
      </c>
      <c r="E222" t="s">
        <v>1</v>
      </c>
      <c r="F222" t="s">
        <v>509</v>
      </c>
      <c r="G222" t="s">
        <v>1453</v>
      </c>
      <c r="H222" t="s">
        <v>1454</v>
      </c>
      <c r="I222" t="s">
        <v>64</v>
      </c>
      <c r="J222" t="s">
        <v>105</v>
      </c>
      <c r="L222" t="s">
        <v>1455</v>
      </c>
      <c r="O222" t="s">
        <v>1456</v>
      </c>
      <c r="P222" t="s">
        <v>1457</v>
      </c>
      <c r="S222">
        <v>15399</v>
      </c>
      <c r="T222" t="s">
        <v>1404</v>
      </c>
      <c r="U222" t="s">
        <v>70</v>
      </c>
      <c r="V222" s="23">
        <v>44388</v>
      </c>
      <c r="X222" t="s">
        <v>1458</v>
      </c>
      <c r="Y222" s="23">
        <v>43404</v>
      </c>
      <c r="Z222" s="23">
        <v>44480</v>
      </c>
      <c r="AA222" s="23">
        <v>43734</v>
      </c>
      <c r="AB222" s="21">
        <v>37</v>
      </c>
      <c r="AC222">
        <v>16500</v>
      </c>
      <c r="AD222" t="s">
        <v>71</v>
      </c>
      <c r="AE222" t="s">
        <v>71</v>
      </c>
    </row>
    <row r="223" spans="1:31" x14ac:dyDescent="0.45">
      <c r="A223">
        <v>20009069</v>
      </c>
      <c r="B223" t="s">
        <v>1459</v>
      </c>
      <c r="C223" t="s">
        <v>554</v>
      </c>
      <c r="D223" t="s">
        <v>1460</v>
      </c>
      <c r="E223" t="s">
        <v>433</v>
      </c>
      <c r="F223" t="s">
        <v>798</v>
      </c>
      <c r="G223" t="s">
        <v>1461</v>
      </c>
      <c r="H223" t="s">
        <v>1272</v>
      </c>
      <c r="I223" t="s">
        <v>64</v>
      </c>
      <c r="J223" t="s">
        <v>1462</v>
      </c>
      <c r="L223" t="s">
        <v>1463</v>
      </c>
      <c r="O223" t="s">
        <v>539</v>
      </c>
      <c r="P223" t="s">
        <v>1464</v>
      </c>
      <c r="R223" t="s">
        <v>1465</v>
      </c>
      <c r="S223">
        <v>15393</v>
      </c>
      <c r="T223" t="s">
        <v>670</v>
      </c>
      <c r="U223" t="s">
        <v>70</v>
      </c>
      <c r="V223" s="23">
        <v>44734</v>
      </c>
      <c r="W223" s="23">
        <v>44826</v>
      </c>
      <c r="X223" t="s">
        <v>1466</v>
      </c>
      <c r="Y223" s="23">
        <v>43706</v>
      </c>
      <c r="Z223" s="23">
        <v>44826</v>
      </c>
      <c r="AA223" s="23">
        <v>43727</v>
      </c>
      <c r="AB223" s="21">
        <v>37</v>
      </c>
      <c r="AC223">
        <v>27500</v>
      </c>
      <c r="AD223" t="s">
        <v>71</v>
      </c>
      <c r="AE223" t="s">
        <v>71</v>
      </c>
    </row>
    <row r="224" spans="1:31" x14ac:dyDescent="0.45">
      <c r="A224">
        <v>20009069</v>
      </c>
      <c r="B224" t="s">
        <v>1459</v>
      </c>
      <c r="C224" t="s">
        <v>554</v>
      </c>
      <c r="D224" t="s">
        <v>1460</v>
      </c>
      <c r="E224" t="s">
        <v>433</v>
      </c>
      <c r="F224" t="s">
        <v>798</v>
      </c>
      <c r="G224" t="s">
        <v>1461</v>
      </c>
      <c r="H224" t="s">
        <v>1272</v>
      </c>
      <c r="I224" t="s">
        <v>64</v>
      </c>
      <c r="J224" t="s">
        <v>1462</v>
      </c>
      <c r="L224" t="s">
        <v>1463</v>
      </c>
      <c r="O224" t="s">
        <v>539</v>
      </c>
      <c r="P224" t="s">
        <v>1464</v>
      </c>
      <c r="S224">
        <v>15399</v>
      </c>
      <c r="T224" t="s">
        <v>1404</v>
      </c>
      <c r="U224" t="s">
        <v>70</v>
      </c>
      <c r="V224" s="23">
        <v>43720</v>
      </c>
      <c r="X224" t="s">
        <v>1467</v>
      </c>
      <c r="Y224" s="23">
        <v>42923</v>
      </c>
      <c r="Z224" s="23">
        <v>43759</v>
      </c>
      <c r="AA224" s="23">
        <v>43720</v>
      </c>
      <c r="AB224" s="21">
        <v>37</v>
      </c>
      <c r="AC224">
        <v>27500</v>
      </c>
      <c r="AD224" t="s">
        <v>71</v>
      </c>
      <c r="AE224" t="s">
        <v>71</v>
      </c>
    </row>
    <row r="225" spans="1:31" x14ac:dyDescent="0.45">
      <c r="A225">
        <v>20009086</v>
      </c>
      <c r="B225" t="s">
        <v>1468</v>
      </c>
      <c r="C225" t="s">
        <v>145</v>
      </c>
      <c r="D225" t="s">
        <v>1469</v>
      </c>
      <c r="E225" t="s">
        <v>1</v>
      </c>
      <c r="F225" t="s">
        <v>102</v>
      </c>
      <c r="G225" t="s">
        <v>235</v>
      </c>
      <c r="H225" t="s">
        <v>1272</v>
      </c>
      <c r="I225" t="s">
        <v>64</v>
      </c>
      <c r="J225" t="s">
        <v>156</v>
      </c>
      <c r="L225" t="s">
        <v>1470</v>
      </c>
      <c r="M225" t="s">
        <v>1471</v>
      </c>
      <c r="O225" t="s">
        <v>159</v>
      </c>
      <c r="P225" t="s">
        <v>1472</v>
      </c>
      <c r="R225" t="s">
        <v>1473</v>
      </c>
      <c r="S225">
        <v>15393</v>
      </c>
      <c r="T225" t="s">
        <v>670</v>
      </c>
      <c r="U225" t="s">
        <v>70</v>
      </c>
      <c r="V225" s="23">
        <v>44734</v>
      </c>
      <c r="W225" s="23">
        <v>44826</v>
      </c>
      <c r="X225" t="s">
        <v>1474</v>
      </c>
      <c r="Y225" s="23">
        <v>43712</v>
      </c>
      <c r="Z225" s="23">
        <v>44826</v>
      </c>
      <c r="AA225" s="23">
        <v>43727</v>
      </c>
      <c r="AB225" s="21">
        <v>37</v>
      </c>
      <c r="AC225">
        <v>27500</v>
      </c>
      <c r="AD225" t="s">
        <v>71</v>
      </c>
      <c r="AE225" t="s">
        <v>71</v>
      </c>
    </row>
    <row r="226" spans="1:31" x14ac:dyDescent="0.45">
      <c r="A226">
        <v>20009120</v>
      </c>
      <c r="B226" t="s">
        <v>1475</v>
      </c>
      <c r="C226" t="s">
        <v>83</v>
      </c>
      <c r="D226" t="s">
        <v>1476</v>
      </c>
      <c r="E226" t="s">
        <v>320</v>
      </c>
      <c r="F226" t="s">
        <v>589</v>
      </c>
      <c r="G226" t="s">
        <v>590</v>
      </c>
      <c r="H226" t="s">
        <v>1436</v>
      </c>
      <c r="I226" t="s">
        <v>64</v>
      </c>
      <c r="J226" t="s">
        <v>427</v>
      </c>
      <c r="L226" t="s">
        <v>1477</v>
      </c>
      <c r="O226" t="s">
        <v>757</v>
      </c>
      <c r="P226" t="s">
        <v>1478</v>
      </c>
      <c r="R226" t="s">
        <v>1479</v>
      </c>
      <c r="S226">
        <v>15393</v>
      </c>
      <c r="T226" t="s">
        <v>670</v>
      </c>
      <c r="U226" t="s">
        <v>70</v>
      </c>
      <c r="V226" s="23">
        <v>44734</v>
      </c>
      <c r="W226" s="23">
        <v>44826</v>
      </c>
      <c r="X226" t="s">
        <v>1480</v>
      </c>
      <c r="Y226" s="23">
        <v>43648</v>
      </c>
      <c r="Z226" s="23">
        <v>44826</v>
      </c>
      <c r="AA226" s="23">
        <v>43720</v>
      </c>
      <c r="AB226" s="21">
        <v>37</v>
      </c>
      <c r="AC226">
        <v>27600</v>
      </c>
      <c r="AD226" t="s">
        <v>71</v>
      </c>
      <c r="AE226" t="s">
        <v>71</v>
      </c>
    </row>
    <row r="227" spans="1:31" x14ac:dyDescent="0.45">
      <c r="A227">
        <v>20009121</v>
      </c>
      <c r="B227" t="s">
        <v>1481</v>
      </c>
      <c r="C227" t="s">
        <v>153</v>
      </c>
      <c r="D227" t="s">
        <v>1482</v>
      </c>
      <c r="E227" t="s">
        <v>0</v>
      </c>
      <c r="F227" t="s">
        <v>60</v>
      </c>
      <c r="G227" t="s">
        <v>571</v>
      </c>
      <c r="H227" t="s">
        <v>1483</v>
      </c>
      <c r="I227" t="s">
        <v>64</v>
      </c>
      <c r="J227" t="s">
        <v>320</v>
      </c>
      <c r="L227" t="s">
        <v>1484</v>
      </c>
      <c r="O227" t="s">
        <v>80</v>
      </c>
      <c r="P227" t="s">
        <v>1485</v>
      </c>
      <c r="R227" t="s">
        <v>1486</v>
      </c>
      <c r="S227">
        <v>15393</v>
      </c>
      <c r="T227" t="s">
        <v>670</v>
      </c>
      <c r="U227" t="s">
        <v>70</v>
      </c>
      <c r="V227" s="23">
        <v>44734</v>
      </c>
      <c r="W227" s="23">
        <v>44826</v>
      </c>
      <c r="X227" t="s">
        <v>1487</v>
      </c>
      <c r="Y227" s="23">
        <v>43748</v>
      </c>
      <c r="Z227" s="23">
        <v>44826</v>
      </c>
      <c r="AA227" s="23">
        <v>43753</v>
      </c>
      <c r="AB227" s="21">
        <v>37</v>
      </c>
      <c r="AC227">
        <v>27600</v>
      </c>
      <c r="AD227" t="s">
        <v>71</v>
      </c>
      <c r="AE227" t="s">
        <v>71</v>
      </c>
    </row>
    <row r="228" spans="1:31" x14ac:dyDescent="0.45">
      <c r="A228">
        <v>20009121</v>
      </c>
      <c r="B228" t="s">
        <v>1481</v>
      </c>
      <c r="C228" t="s">
        <v>153</v>
      </c>
      <c r="D228" t="s">
        <v>1482</v>
      </c>
      <c r="E228" t="s">
        <v>0</v>
      </c>
      <c r="F228" t="s">
        <v>60</v>
      </c>
      <c r="G228" t="s">
        <v>571</v>
      </c>
      <c r="H228" t="s">
        <v>1483</v>
      </c>
      <c r="I228" t="s">
        <v>64</v>
      </c>
      <c r="J228" t="s">
        <v>320</v>
      </c>
      <c r="L228" t="s">
        <v>1484</v>
      </c>
      <c r="O228" t="s">
        <v>80</v>
      </c>
      <c r="P228" t="s">
        <v>1485</v>
      </c>
      <c r="S228">
        <v>15399</v>
      </c>
      <c r="T228" t="s">
        <v>1404</v>
      </c>
      <c r="U228" t="s">
        <v>70</v>
      </c>
      <c r="V228" s="23">
        <v>43720</v>
      </c>
      <c r="X228" t="s">
        <v>1488</v>
      </c>
      <c r="Y228" s="23">
        <v>43382</v>
      </c>
      <c r="Z228" s="23">
        <v>43745</v>
      </c>
      <c r="AA228" s="23">
        <v>43720</v>
      </c>
      <c r="AB228" s="21">
        <v>37</v>
      </c>
      <c r="AC228">
        <v>27600</v>
      </c>
      <c r="AD228" t="s">
        <v>71</v>
      </c>
      <c r="AE228" t="s">
        <v>71</v>
      </c>
    </row>
    <row r="229" spans="1:31" x14ac:dyDescent="0.45">
      <c r="A229">
        <v>20009412</v>
      </c>
      <c r="B229" t="s">
        <v>1489</v>
      </c>
      <c r="C229" t="s">
        <v>211</v>
      </c>
      <c r="D229" t="s">
        <v>1490</v>
      </c>
      <c r="E229" t="s">
        <v>1</v>
      </c>
      <c r="F229" t="s">
        <v>102</v>
      </c>
      <c r="G229" t="s">
        <v>103</v>
      </c>
      <c r="H229" t="s">
        <v>104</v>
      </c>
      <c r="I229" t="s">
        <v>64</v>
      </c>
      <c r="J229" t="s">
        <v>156</v>
      </c>
      <c r="L229" t="s">
        <v>1491</v>
      </c>
      <c r="O229" t="s">
        <v>1492</v>
      </c>
      <c r="P229" t="s">
        <v>1493</v>
      </c>
      <c r="S229">
        <v>15386</v>
      </c>
      <c r="T229" t="s">
        <v>98</v>
      </c>
      <c r="U229" t="s">
        <v>70</v>
      </c>
      <c r="V229" s="23">
        <v>45565</v>
      </c>
      <c r="X229" t="s">
        <v>1494</v>
      </c>
      <c r="Y229" s="23">
        <v>43677</v>
      </c>
      <c r="Z229" s="23">
        <v>45657</v>
      </c>
      <c r="AA229" s="23">
        <v>43733</v>
      </c>
      <c r="AB229" s="21">
        <v>37</v>
      </c>
      <c r="AC229">
        <v>17350</v>
      </c>
      <c r="AD229" t="s">
        <v>71</v>
      </c>
      <c r="AE229" t="s">
        <v>71</v>
      </c>
    </row>
    <row r="230" spans="1:31" x14ac:dyDescent="0.45">
      <c r="A230">
        <v>20009532</v>
      </c>
      <c r="B230" t="s">
        <v>1495</v>
      </c>
      <c r="C230" t="s">
        <v>192</v>
      </c>
      <c r="D230" t="s">
        <v>1452</v>
      </c>
      <c r="E230" t="s">
        <v>1</v>
      </c>
      <c r="F230" t="s">
        <v>509</v>
      </c>
      <c r="G230" t="s">
        <v>1453</v>
      </c>
      <c r="H230" t="s">
        <v>1454</v>
      </c>
      <c r="I230" t="s">
        <v>64</v>
      </c>
      <c r="J230" t="s">
        <v>105</v>
      </c>
      <c r="L230" t="s">
        <v>1496</v>
      </c>
      <c r="O230" t="s">
        <v>80</v>
      </c>
      <c r="P230" t="s">
        <v>1497</v>
      </c>
      <c r="S230">
        <v>15401</v>
      </c>
      <c r="T230" t="s">
        <v>1498</v>
      </c>
      <c r="U230" t="s">
        <v>70</v>
      </c>
      <c r="V230" s="23">
        <v>43957</v>
      </c>
      <c r="X230" t="s">
        <v>1499</v>
      </c>
      <c r="Y230" s="23">
        <v>43730</v>
      </c>
      <c r="Z230" s="23">
        <v>44049</v>
      </c>
      <c r="AA230" s="23">
        <v>43752</v>
      </c>
      <c r="AB230" s="21">
        <v>37</v>
      </c>
      <c r="AC230">
        <v>16500</v>
      </c>
      <c r="AD230" t="s">
        <v>71</v>
      </c>
      <c r="AE230" t="s">
        <v>71</v>
      </c>
    </row>
    <row r="231" spans="1:31" x14ac:dyDescent="0.45">
      <c r="A231">
        <v>20009858</v>
      </c>
      <c r="B231" t="s">
        <v>1500</v>
      </c>
      <c r="C231" t="s">
        <v>211</v>
      </c>
      <c r="D231" t="s">
        <v>370</v>
      </c>
      <c r="E231" t="s">
        <v>433</v>
      </c>
      <c r="F231" t="s">
        <v>1501</v>
      </c>
      <c r="G231" t="s">
        <v>1154</v>
      </c>
      <c r="H231" t="s">
        <v>1502</v>
      </c>
      <c r="I231" t="s">
        <v>64</v>
      </c>
      <c r="J231" t="s">
        <v>1503</v>
      </c>
      <c r="L231" t="s">
        <v>1504</v>
      </c>
      <c r="O231" t="s">
        <v>80</v>
      </c>
      <c r="P231" t="s">
        <v>1505</v>
      </c>
      <c r="S231">
        <v>15386</v>
      </c>
      <c r="T231" t="s">
        <v>98</v>
      </c>
      <c r="U231" t="s">
        <v>70</v>
      </c>
      <c r="V231" s="23">
        <v>44647</v>
      </c>
      <c r="X231" t="s">
        <v>1506</v>
      </c>
      <c r="Y231" s="23">
        <v>41087</v>
      </c>
      <c r="Z231" s="23">
        <v>44739</v>
      </c>
      <c r="AA231" s="23">
        <v>43770</v>
      </c>
      <c r="AB231" s="21">
        <v>37</v>
      </c>
      <c r="AC231">
        <v>135000</v>
      </c>
      <c r="AD231" t="s">
        <v>71</v>
      </c>
      <c r="AE231" t="s">
        <v>71</v>
      </c>
    </row>
    <row r="232" spans="1:31" x14ac:dyDescent="0.45">
      <c r="A232">
        <v>20009898</v>
      </c>
      <c r="B232" t="s">
        <v>1507</v>
      </c>
      <c r="C232" t="s">
        <v>211</v>
      </c>
      <c r="D232" t="s">
        <v>1508</v>
      </c>
      <c r="E232" t="s">
        <v>1</v>
      </c>
      <c r="F232" t="s">
        <v>74</v>
      </c>
      <c r="G232" t="s">
        <v>706</v>
      </c>
      <c r="H232" t="s">
        <v>1509</v>
      </c>
      <c r="I232" t="s">
        <v>64</v>
      </c>
      <c r="J232" t="s">
        <v>65</v>
      </c>
      <c r="L232" t="s">
        <v>1510</v>
      </c>
      <c r="M232" t="s">
        <v>1511</v>
      </c>
      <c r="O232" t="s">
        <v>80</v>
      </c>
      <c r="P232" t="s">
        <v>1512</v>
      </c>
      <c r="S232">
        <v>15399</v>
      </c>
      <c r="T232" t="s">
        <v>1404</v>
      </c>
      <c r="U232" t="s">
        <v>70</v>
      </c>
      <c r="V232" s="23">
        <v>43773</v>
      </c>
      <c r="X232" t="s">
        <v>1513</v>
      </c>
      <c r="Y232" s="23">
        <v>42927</v>
      </c>
      <c r="Z232" s="23">
        <v>43800</v>
      </c>
      <c r="AA232" s="23">
        <v>43774</v>
      </c>
      <c r="AB232" s="21">
        <v>37</v>
      </c>
      <c r="AC232">
        <v>61000</v>
      </c>
      <c r="AD232" t="s">
        <v>71</v>
      </c>
      <c r="AE232" t="s">
        <v>71</v>
      </c>
    </row>
    <row r="233" spans="1:31" x14ac:dyDescent="0.45">
      <c r="A233">
        <v>20009966</v>
      </c>
      <c r="B233" t="s">
        <v>1514</v>
      </c>
      <c r="C233" t="s">
        <v>83</v>
      </c>
      <c r="D233" t="s">
        <v>362</v>
      </c>
      <c r="E233" t="s">
        <v>320</v>
      </c>
      <c r="F233" t="s">
        <v>363</v>
      </c>
      <c r="G233" t="s">
        <v>364</v>
      </c>
      <c r="H233" t="s">
        <v>1515</v>
      </c>
      <c r="I233" t="s">
        <v>64</v>
      </c>
      <c r="J233" t="s">
        <v>359</v>
      </c>
      <c r="L233" t="s">
        <v>1516</v>
      </c>
      <c r="O233" t="s">
        <v>850</v>
      </c>
      <c r="P233" t="s">
        <v>1517</v>
      </c>
      <c r="R233" t="s">
        <v>1518</v>
      </c>
      <c r="S233">
        <v>15393</v>
      </c>
      <c r="T233" t="s">
        <v>670</v>
      </c>
      <c r="U233" t="s">
        <v>70</v>
      </c>
      <c r="V233" s="23">
        <v>44755</v>
      </c>
      <c r="W233" s="23">
        <v>44847</v>
      </c>
      <c r="X233" t="s">
        <v>1519</v>
      </c>
      <c r="Y233" s="23">
        <v>43742</v>
      </c>
      <c r="Z233" s="23">
        <v>44847</v>
      </c>
      <c r="AA233" s="23">
        <v>43783</v>
      </c>
      <c r="AB233" s="21">
        <v>37</v>
      </c>
      <c r="AC233">
        <v>55066</v>
      </c>
      <c r="AD233" t="s">
        <v>71</v>
      </c>
      <c r="AE233" t="s">
        <v>71</v>
      </c>
    </row>
  </sheetData>
  <autoFilter ref="A1:AD1" xr:uid="{00000000-0009-0000-0000-000003000000}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AF1"/>
  <sheetViews>
    <sheetView workbookViewId="0">
      <pane xSplit="2" ySplit="1" topLeftCell="Z2" activePane="bottomRight" state="frozen"/>
      <selection pane="topRight" activeCell="C1" sqref="C1"/>
      <selection pane="bottomLeft" activeCell="A2" sqref="A2"/>
      <selection pane="bottomRight" activeCell="AA1" sqref="AA1:AC1048576"/>
    </sheetView>
  </sheetViews>
  <sheetFormatPr defaultColWidth="9.1328125" defaultRowHeight="14.25" x14ac:dyDescent="0.45"/>
  <cols>
    <col min="1" max="1" width="16" bestFit="1" customWidth="1"/>
    <col min="2" max="2" width="25" bestFit="1" customWidth="1"/>
    <col min="3" max="3" width="21.59765625" bestFit="1" customWidth="1"/>
    <col min="4" max="4" width="15.86328125" bestFit="1" customWidth="1"/>
    <col min="5" max="5" width="12.59765625" bestFit="1" customWidth="1"/>
    <col min="6" max="6" width="26.86328125" bestFit="1" customWidth="1"/>
    <col min="7" max="7" width="29.1328125" bestFit="1" customWidth="1"/>
    <col min="8" max="8" width="32.86328125" bestFit="1" customWidth="1"/>
    <col min="9" max="9" width="25.73046875" bestFit="1" customWidth="1"/>
    <col min="10" max="10" width="24" bestFit="1" customWidth="1"/>
    <col min="11" max="11" width="23.86328125" bestFit="1" customWidth="1"/>
    <col min="12" max="12" width="23" bestFit="1" customWidth="1"/>
    <col min="13" max="13" width="18.59765625" bestFit="1" customWidth="1"/>
    <col min="14" max="14" width="15.86328125" bestFit="1" customWidth="1"/>
    <col min="15" max="15" width="14.59765625" bestFit="1" customWidth="1"/>
    <col min="16" max="16" width="9" bestFit="1" customWidth="1"/>
    <col min="17" max="17" width="13.1328125" bestFit="1" customWidth="1"/>
    <col min="18" max="18" width="18.3984375" bestFit="1" customWidth="1"/>
    <col min="19" max="19" width="8.1328125" bestFit="1" customWidth="1"/>
    <col min="20" max="20" width="23.3984375" bestFit="1" customWidth="1"/>
    <col min="21" max="21" width="20.59765625" bestFit="1" customWidth="1"/>
    <col min="22" max="23" width="21" style="23" bestFit="1" customWidth="1"/>
    <col min="24" max="24" width="14.86328125" bestFit="1" customWidth="1"/>
    <col min="25" max="25" width="19.1328125" style="23" bestFit="1" customWidth="1"/>
    <col min="26" max="26" width="17.3984375" style="23" bestFit="1" customWidth="1"/>
    <col min="27" max="27" width="11.265625" style="23" bestFit="1" customWidth="1"/>
    <col min="28" max="28" width="22.86328125" style="21" bestFit="1" customWidth="1"/>
    <col min="29" max="29" width="7.3984375" bestFit="1" customWidth="1"/>
    <col min="30" max="30" width="26.59765625" style="26" customWidth="1"/>
    <col min="31" max="31" width="14.86328125" customWidth="1"/>
    <col min="32" max="32" width="32.1328125" customWidth="1"/>
  </cols>
  <sheetData>
    <row r="1" spans="1:32" x14ac:dyDescent="0.45">
      <c r="A1" s="19" t="s">
        <v>17</v>
      </c>
      <c r="B1" s="19" t="s">
        <v>18</v>
      </c>
      <c r="C1" s="19" t="s">
        <v>19</v>
      </c>
      <c r="D1" s="19" t="s">
        <v>20</v>
      </c>
      <c r="E1" s="19" t="s">
        <v>21</v>
      </c>
      <c r="F1" s="19" t="s">
        <v>22</v>
      </c>
      <c r="G1" s="19" t="s">
        <v>23</v>
      </c>
      <c r="H1" s="19" t="s">
        <v>24</v>
      </c>
      <c r="I1" s="19" t="s">
        <v>25</v>
      </c>
      <c r="J1" s="19" t="s">
        <v>26</v>
      </c>
      <c r="K1" s="19" t="s">
        <v>27</v>
      </c>
      <c r="L1" s="19" t="s">
        <v>28</v>
      </c>
      <c r="M1" s="19" t="s">
        <v>29</v>
      </c>
      <c r="N1" s="19" t="s">
        <v>30</v>
      </c>
      <c r="O1" s="19" t="s">
        <v>31</v>
      </c>
      <c r="P1" s="19" t="s">
        <v>32</v>
      </c>
      <c r="Q1" s="19" t="s">
        <v>33</v>
      </c>
      <c r="R1" s="19" t="s">
        <v>34</v>
      </c>
      <c r="S1" s="19" t="s">
        <v>45</v>
      </c>
      <c r="T1" s="19" t="s">
        <v>35</v>
      </c>
      <c r="U1" s="19" t="s">
        <v>36</v>
      </c>
      <c r="V1" s="22" t="s">
        <v>37</v>
      </c>
      <c r="W1" s="22" t="s">
        <v>38</v>
      </c>
      <c r="X1" s="19" t="s">
        <v>39</v>
      </c>
      <c r="Y1" s="22" t="s">
        <v>40</v>
      </c>
      <c r="Z1" s="22" t="s">
        <v>41</v>
      </c>
      <c r="AA1" s="22" t="s">
        <v>42</v>
      </c>
      <c r="AB1" s="20" t="s">
        <v>43</v>
      </c>
      <c r="AC1" s="19" t="s">
        <v>44</v>
      </c>
      <c r="AD1" s="19" t="s">
        <v>48</v>
      </c>
      <c r="AE1" s="19" t="s">
        <v>49</v>
      </c>
      <c r="AF1" s="25" t="s">
        <v>46</v>
      </c>
    </row>
  </sheetData>
  <conditionalFormatting sqref="A1 B2:AC79">
    <cfRule type="expression" dxfId="0" priority="3">
      <formula>#REF!=1</formula>
    </cfRule>
  </conditionalFormatting>
  <printOptions gridLines="1"/>
  <pageMargins left="0.70866141732283472" right="0.70866141732283472" top="0.74803149606299213" bottom="0.74803149606299213" header="0.31496062992125984" footer="0.31496062992125984"/>
  <pageSetup paperSize="8" scale="7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C1"/>
  <sheetViews>
    <sheetView workbookViewId="0">
      <selection activeCell="I12" sqref="I12"/>
    </sheetView>
  </sheetViews>
  <sheetFormatPr defaultRowHeight="14.25" x14ac:dyDescent="0.45"/>
  <cols>
    <col min="1" max="1" width="24.59765625" style="18" customWidth="1"/>
    <col min="2" max="2" width="22.86328125" style="18" customWidth="1"/>
    <col min="3" max="3" width="22" style="18" customWidth="1"/>
  </cols>
  <sheetData>
    <row r="1" spans="1:3" x14ac:dyDescent="0.45">
      <c r="A1" s="19" t="s">
        <v>17</v>
      </c>
      <c r="B1" s="19" t="s">
        <v>18</v>
      </c>
      <c r="C1" s="19" t="s">
        <v>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2"/>
  <sheetViews>
    <sheetView workbookViewId="0">
      <selection activeCell="B5" sqref="B5"/>
    </sheetView>
  </sheetViews>
  <sheetFormatPr defaultRowHeight="14.25" x14ac:dyDescent="0.45"/>
  <cols>
    <col min="1" max="1" width="24.59765625" style="18" customWidth="1"/>
    <col min="2" max="2" width="22.86328125" style="18" customWidth="1"/>
    <col min="3" max="3" width="22" style="18" customWidth="1"/>
  </cols>
  <sheetData>
    <row r="1" spans="1:3" x14ac:dyDescent="0.45">
      <c r="A1" s="19" t="s">
        <v>17</v>
      </c>
      <c r="B1" s="19" t="s">
        <v>18</v>
      </c>
      <c r="C1" s="19" t="s">
        <v>47</v>
      </c>
    </row>
    <row r="2" spans="1:3" x14ac:dyDescent="0.45">
      <c r="A2" s="18">
        <v>20009966</v>
      </c>
      <c r="B2" s="18" t="s">
        <v>1514</v>
      </c>
      <c r="C2" s="18" t="s">
        <v>1538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77FF3B09E8A24DB02E7FEC80AE9764" ma:contentTypeVersion="" ma:contentTypeDescription="Create a new document." ma:contentTypeScope="" ma:versionID="771e5255a65ee77a2ec1d678f77a4e9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DB3DAF4-9BB7-43A6-BB5E-E1EE41C748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2CB4241E-CD36-41F1-9D2E-44F3B5E7D9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D4C08AE-F06C-4030-AA82-DE406E31E17A}">
  <ds:schemaRefs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www.w3.org/XML/1998/namespace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ILR.PR</vt:lpstr>
      <vt:lpstr>Limited Leave</vt:lpstr>
      <vt:lpstr>SF16</vt:lpstr>
      <vt:lpstr>Changes Check</vt:lpstr>
      <vt:lpstr>Leavers</vt:lpstr>
      <vt:lpstr>Joiners</vt:lpstr>
    </vt:vector>
  </TitlesOfParts>
  <Company>EDF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Seeruthun, Vinay</dc:creator>
  <cp:lastModifiedBy>Laimins, Ugis</cp:lastModifiedBy>
  <cp:lastPrinted>2019-09-03T09:34:16Z</cp:lastPrinted>
  <dcterms:created xsi:type="dcterms:W3CDTF">2016-02-01T14:29:59Z</dcterms:created>
  <dcterms:modified xsi:type="dcterms:W3CDTF">2019-11-22T16:24:53Z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0x010100E277FF3B09E8A24DB02E7FEC80AE9764</vt:lpwstr>
  </property>
</Properties>
</file>